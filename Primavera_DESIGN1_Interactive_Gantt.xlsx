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q\Desktop\Design 1\"/>
    </mc:Choice>
  </mc:AlternateContent>
  <xr:revisionPtr revIDLastSave="0" documentId="13_ncr:1_{438E669C-646F-48DA-8C5F-8DCBA72CD0F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rimavera Activities" sheetId="1" r:id="rId1"/>
    <sheet name="Pivot Summary" sheetId="2" r:id="rId2"/>
    <sheet name="Interactive Gantt" sheetId="3" r:id="rId3"/>
    <sheet name="_Lists" sheetId="4" state="hidden" r:id="rId4"/>
    <sheet name="WBS Structur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B10" i="2"/>
  <c r="B9" i="2"/>
  <c r="B8" i="2"/>
  <c r="F7" i="2"/>
  <c r="E7" i="2"/>
  <c r="B7" i="2"/>
  <c r="F6" i="2"/>
  <c r="E6" i="2"/>
  <c r="B6" i="2"/>
  <c r="F5" i="2"/>
  <c r="E5" i="2"/>
  <c r="B5" i="2"/>
  <c r="F4" i="2"/>
  <c r="E4" i="2"/>
  <c r="B4" i="2"/>
</calcChain>
</file>

<file path=xl/sharedStrings.xml><?xml version="1.0" encoding="utf-8"?>
<sst xmlns="http://schemas.openxmlformats.org/spreadsheetml/2006/main" count="1046" uniqueCount="351">
  <si>
    <t>DESIGN1 — PRIMAVERA P6 ACTIVITY DATA</t>
  </si>
  <si>
    <t>Activity ID</t>
  </si>
  <si>
    <t>Activity Name</t>
  </si>
  <si>
    <t>WBS Code</t>
  </si>
  <si>
    <t>WBS</t>
  </si>
  <si>
    <t>Status</t>
  </si>
  <si>
    <t>Progress %</t>
  </si>
  <si>
    <t>Start</t>
  </si>
  <si>
    <t>Finish</t>
  </si>
  <si>
    <t>Duration (days)</t>
  </si>
  <si>
    <t>Predecessors</t>
  </si>
  <si>
    <t>Total Float (h)</t>
  </si>
  <si>
    <t>Early Start</t>
  </si>
  <si>
    <t>Early Finish</t>
  </si>
  <si>
    <t>Late Start</t>
  </si>
  <si>
    <t>Late Finish</t>
  </si>
  <si>
    <t>A1000</t>
  </si>
  <si>
    <t>Project Initiation</t>
  </si>
  <si>
    <t>DESIGN1.1</t>
  </si>
  <si>
    <t>Tinker Line &gt; MilesStones</t>
  </si>
  <si>
    <t>Not Started</t>
  </si>
  <si>
    <t>A1010</t>
  </si>
  <si>
    <t>Requirements &amp; Planning</t>
  </si>
  <si>
    <t>A1760 (FS)</t>
  </si>
  <si>
    <t>A1030</t>
  </si>
  <si>
    <t>Mechanical Design</t>
  </si>
  <si>
    <t>A1830 (FS)</t>
  </si>
  <si>
    <t>A1040</t>
  </si>
  <si>
    <t>Electrical &amp; Control System</t>
  </si>
  <si>
    <t>A1850 (FS)</t>
  </si>
  <si>
    <t>A1050</t>
  </si>
  <si>
    <t>Procurement</t>
  </si>
  <si>
    <t>A1420 (FS)</t>
  </si>
  <si>
    <t>A1060</t>
  </si>
  <si>
    <t>Manufacturing</t>
  </si>
  <si>
    <t>A1070</t>
  </si>
  <si>
    <t>Assembly &amp; Integration</t>
  </si>
  <si>
    <t>A1440 (FS)</t>
  </si>
  <si>
    <t>A1090</t>
  </si>
  <si>
    <t>Testing &amp; Commissioning</t>
  </si>
  <si>
    <t>A1620 (FS), A1840 (FS)</t>
  </si>
  <si>
    <t>A1100</t>
  </si>
  <si>
    <t>Handover</t>
  </si>
  <si>
    <t>A1630 (FS)</t>
  </si>
  <si>
    <t>A1110</t>
  </si>
  <si>
    <t>Define Project Objectives</t>
  </si>
  <si>
    <t>DESIGN1.2</t>
  </si>
  <si>
    <t>Tinker Line &gt; Project Initiation</t>
  </si>
  <si>
    <t>A1000 (SS)</t>
  </si>
  <si>
    <t>A1120</t>
  </si>
  <si>
    <t>Sketches</t>
  </si>
  <si>
    <t>A1110 (SS)</t>
  </si>
  <si>
    <t>A1130</t>
  </si>
  <si>
    <t>Settle to Idea</t>
  </si>
  <si>
    <t>A1120 (SS), A1120 (FF)</t>
  </si>
  <si>
    <t>A1140</t>
  </si>
  <si>
    <t>Set Initial Project Schedule</t>
  </si>
  <si>
    <t>DESIGN1.3</t>
  </si>
  <si>
    <t>Tinker Line &gt; Requirements &amp; Planning</t>
  </si>
  <si>
    <t>A1130 (SS +8h)</t>
  </si>
  <si>
    <t>A1150</t>
  </si>
  <si>
    <t>Estimate BOM</t>
  </si>
  <si>
    <t>A1140 (SS)</t>
  </si>
  <si>
    <t>A1760</t>
  </si>
  <si>
    <t>Assign Resources</t>
  </si>
  <si>
    <t>A1140 (SS +8h), A1150 (SS)</t>
  </si>
  <si>
    <t>A1160</t>
  </si>
  <si>
    <t>LID</t>
  </si>
  <si>
    <t>DESIGN1.4.1</t>
  </si>
  <si>
    <t>Tinker Line &gt; Mechanical Design &gt; Parts</t>
  </si>
  <si>
    <t>A1170</t>
  </si>
  <si>
    <t>Base</t>
  </si>
  <si>
    <t>A1760 (FS +40h)</t>
  </si>
  <si>
    <t>A1180</t>
  </si>
  <si>
    <t>Electrical Box</t>
  </si>
  <si>
    <t>A1190</t>
  </si>
  <si>
    <t>Magnetic End Effector</t>
  </si>
  <si>
    <t>A1760 (FS +40h), A1160 (FS), A1170 (FS)</t>
  </si>
  <si>
    <t>A1200</t>
  </si>
  <si>
    <t>Design Magazine Parts</t>
  </si>
  <si>
    <t>A1210</t>
  </si>
  <si>
    <t>Shaft Analysis</t>
  </si>
  <si>
    <t>A1680 (FS +8h)</t>
  </si>
  <si>
    <t>A1340</t>
  </si>
  <si>
    <t>Actuator Sizing</t>
  </si>
  <si>
    <t>A1680 (FS +8h), A1670 (FS +8h)</t>
  </si>
  <si>
    <t>A1590</t>
  </si>
  <si>
    <t>Storage</t>
  </si>
  <si>
    <t>A1600</t>
  </si>
  <si>
    <t>Control Box</t>
  </si>
  <si>
    <t>A1610</t>
  </si>
  <si>
    <t>Design Feeding Parts</t>
  </si>
  <si>
    <t>A1790</t>
  </si>
  <si>
    <t>Fasteners Selection</t>
  </si>
  <si>
    <t>A1900</t>
  </si>
  <si>
    <t>BASE</t>
  </si>
  <si>
    <t>A1650</t>
  </si>
  <si>
    <t>Assembly of Feeding</t>
  </si>
  <si>
    <t>DESIGN1.4.2</t>
  </si>
  <si>
    <t>Tinker Line &gt; Mechanical Design &gt; Assembly</t>
  </si>
  <si>
    <t>A1610 (SS), A1610 (FF)</t>
  </si>
  <si>
    <t>A1660</t>
  </si>
  <si>
    <t>Assembly of Magazine</t>
  </si>
  <si>
    <t>A1200 (SS), A1200 (FF)</t>
  </si>
  <si>
    <t>A1670</t>
  </si>
  <si>
    <t>Assembly Feeding with Magazine</t>
  </si>
  <si>
    <t>A1650 (FS), A1660 (FS)</t>
  </si>
  <si>
    <t>A1680</t>
  </si>
  <si>
    <t>Assembly 3-DOF</t>
  </si>
  <si>
    <t>A1760 (FS +24h)</t>
  </si>
  <si>
    <t>A1690</t>
  </si>
  <si>
    <t>Assembly Electrical Box</t>
  </si>
  <si>
    <t>A1180 (FS)</t>
  </si>
  <si>
    <t>A1700</t>
  </si>
  <si>
    <t>Assembly Consideration</t>
  </si>
  <si>
    <t>A1790 (FS), A1690 (SS), A1690 (FF), A1680 (SS), A1670 (SS), A1680 (FF), A1670 (FF)</t>
  </si>
  <si>
    <t>A1710</t>
  </si>
  <si>
    <t>Assembly Fixation</t>
  </si>
  <si>
    <t>A1790 (SS +8h), A1790 (FF +8h)</t>
  </si>
  <si>
    <t>A1800</t>
  </si>
  <si>
    <t>Whole Assembly</t>
  </si>
  <si>
    <t>A1710 (SS), A1700 (SS +8h), A1710 (FF), A1700 (FF +8h)</t>
  </si>
  <si>
    <t>A1830</t>
  </si>
  <si>
    <t>Wire and harness</t>
  </si>
  <si>
    <t>A1800 (SS +24h), A1800 (FF +24h)</t>
  </si>
  <si>
    <t>A1290</t>
  </si>
  <si>
    <t>StateFlow</t>
  </si>
  <si>
    <t>DESIGN1.5.1</t>
  </si>
  <si>
    <t>Tinker Line &gt; Electrical &amp; Control System &gt; Embedded Code</t>
  </si>
  <si>
    <t>A1800 (SS +40h)</t>
  </si>
  <si>
    <t>A1300</t>
  </si>
  <si>
    <t>Define Pins</t>
  </si>
  <si>
    <t>A1290 (FS)</t>
  </si>
  <si>
    <t>A1310</t>
  </si>
  <si>
    <t>PID Code</t>
  </si>
  <si>
    <t>A1300 (FS)</t>
  </si>
  <si>
    <t>A1370</t>
  </si>
  <si>
    <t>3-DOF Robotics</t>
  </si>
  <si>
    <t>A1310 (FS)</t>
  </si>
  <si>
    <t>A1380</t>
  </si>
  <si>
    <t>Sensors Calibration</t>
  </si>
  <si>
    <t>A1770</t>
  </si>
  <si>
    <t>HMI</t>
  </si>
  <si>
    <t>A1300 (FS +160h)</t>
  </si>
  <si>
    <t>A1780</t>
  </si>
  <si>
    <t>Communication Protocol</t>
  </si>
  <si>
    <t>A1850</t>
  </si>
  <si>
    <t>Integration Code</t>
  </si>
  <si>
    <t>A1310 (SS +160h), A1310 (FF +160h)</t>
  </si>
  <si>
    <t>A1220</t>
  </si>
  <si>
    <t>Wire Sizing</t>
  </si>
  <si>
    <t>DESIGN1.5.2</t>
  </si>
  <si>
    <t>Tinker Line &gt; Electrical &amp; Control System &gt; Wiring and Schematic</t>
  </si>
  <si>
    <t>A1300 (SS +40h)</t>
  </si>
  <si>
    <t>A1230</t>
  </si>
  <si>
    <t>Protues Simulation</t>
  </si>
  <si>
    <t>A1850 (SS)</t>
  </si>
  <si>
    <t>A1240</t>
  </si>
  <si>
    <t>Define Connectors</t>
  </si>
  <si>
    <t>A1830 (SS), A1830 (FF)</t>
  </si>
  <si>
    <t>A1250</t>
  </si>
  <si>
    <t>PCB Design</t>
  </si>
  <si>
    <t>A1230 (SS)</t>
  </si>
  <si>
    <t>A1260</t>
  </si>
  <si>
    <t>DC motor Model</t>
  </si>
  <si>
    <t>DESIGN1.5.3</t>
  </si>
  <si>
    <t>Tinker Line &gt; Electrical &amp; Control System &gt; Simulation</t>
  </si>
  <si>
    <t>A1800 (FS)</t>
  </si>
  <si>
    <t>A1270</t>
  </si>
  <si>
    <t>PID Model</t>
  </si>
  <si>
    <t>A1260 (SS), A1260 (FF)</t>
  </si>
  <si>
    <t>A1280</t>
  </si>
  <si>
    <t>Circuit Simulation</t>
  </si>
  <si>
    <t>A1270 (SS)</t>
  </si>
  <si>
    <t>A1640</t>
  </si>
  <si>
    <t>Multibody Simulation</t>
  </si>
  <si>
    <t>A1320</t>
  </si>
  <si>
    <t>Aluminum Extrusion</t>
  </si>
  <si>
    <t>DESIGN1.6</t>
  </si>
  <si>
    <t>Tinker Line &gt; Procurement</t>
  </si>
  <si>
    <t>A1330</t>
  </si>
  <si>
    <t>Actuators</t>
  </si>
  <si>
    <t>A1410</t>
  </si>
  <si>
    <t>Wires</t>
  </si>
  <si>
    <t>A1220 (SS +80h), A1220 (FF +80h)</t>
  </si>
  <si>
    <t>A1420</t>
  </si>
  <si>
    <t>PCB</t>
  </si>
  <si>
    <t>A1250 (FS +24h)</t>
  </si>
  <si>
    <t>A1450</t>
  </si>
  <si>
    <t>Conveyor Belts and Pullies</t>
  </si>
  <si>
    <t>A1680 (SS), A1680 (FF)</t>
  </si>
  <si>
    <t>A1460</t>
  </si>
  <si>
    <t>Bolts and Nuts</t>
  </si>
  <si>
    <t>A1790 (SS +120h), A1790 (FF +120h)</t>
  </si>
  <si>
    <t>A1470</t>
  </si>
  <si>
    <t>Electrical Components</t>
  </si>
  <si>
    <t>A1280 (SS +40h), A1280 (FF +40h)</t>
  </si>
  <si>
    <t>A1740</t>
  </si>
  <si>
    <t>Wood</t>
  </si>
  <si>
    <t>A1670 (FS)</t>
  </si>
  <si>
    <t>A1390</t>
  </si>
  <si>
    <t>Magazine Parts</t>
  </si>
  <si>
    <t>DESIGN1.7</t>
  </si>
  <si>
    <t>Tinker Line &gt; Manufacturing</t>
  </si>
  <si>
    <t>A1670 (FS +120h), A1740 (FS +8h)</t>
  </si>
  <si>
    <t>A1750</t>
  </si>
  <si>
    <t>Feeding Parts</t>
  </si>
  <si>
    <t>A1860</t>
  </si>
  <si>
    <t>LID Manufacturing</t>
  </si>
  <si>
    <t>A1160 (FS +120h), A1740 (FS +8h)</t>
  </si>
  <si>
    <t>A1870</t>
  </si>
  <si>
    <t>Base Manufacturing</t>
  </si>
  <si>
    <t>A1170 (FS +120h), A1740 (FS +8h)</t>
  </si>
  <si>
    <t>A1880</t>
  </si>
  <si>
    <t>A1690 (FS +160h), A1740 (FS +8h)</t>
  </si>
  <si>
    <t>A1890</t>
  </si>
  <si>
    <t>BASE Manufacturing</t>
  </si>
  <si>
    <t>A1900 (FS +160h), A1740 (FS +40h)</t>
  </si>
  <si>
    <t>A1430</t>
  </si>
  <si>
    <t>Real Mechanical Assembly</t>
  </si>
  <si>
    <t>DESIGN1.8</t>
  </si>
  <si>
    <t>Tinker Line &gt; Assembly &amp; Integration</t>
  </si>
  <si>
    <t>A1800 (FS +96h), A1800 (FF +96h), A1880 (FS), A1870 (FS), A1870 (FF), A1860 (FS), A1890 (FS), A1460 (FS)</t>
  </si>
  <si>
    <t>A1440</t>
  </si>
  <si>
    <t>Hardware Wiring</t>
  </si>
  <si>
    <t>A1830 (SS +80h), A1830 (FF +80h), A1430 (SS +16h), A1430 (FF +16h)</t>
  </si>
  <si>
    <t>A1480</t>
  </si>
  <si>
    <t>Test DC-Motors</t>
  </si>
  <si>
    <t>DESIGN1.10.1</t>
  </si>
  <si>
    <t>Tinker Line &gt; Testing &amp; Commissioning &gt; Test Component</t>
  </si>
  <si>
    <t>A1330 (FS)</t>
  </si>
  <si>
    <t>A1490</t>
  </si>
  <si>
    <t>Sensors</t>
  </si>
  <si>
    <t>A1470 (FS)</t>
  </si>
  <si>
    <t>A1500</t>
  </si>
  <si>
    <t>Servo Motor</t>
  </si>
  <si>
    <t>A1510</t>
  </si>
  <si>
    <t>Magnetic Part</t>
  </si>
  <si>
    <t>A1840</t>
  </si>
  <si>
    <t>PCB Test</t>
  </si>
  <si>
    <t>A1520</t>
  </si>
  <si>
    <t>Test X-Axis Path</t>
  </si>
  <si>
    <t>DESIGN1.10.2</t>
  </si>
  <si>
    <t>Tinker Line &gt; Testing &amp; Commissioning &gt; Test System</t>
  </si>
  <si>
    <t>A1480 (FS)</t>
  </si>
  <si>
    <t>A1530</t>
  </si>
  <si>
    <t>Test Y-Axis Path</t>
  </si>
  <si>
    <t>A1540</t>
  </si>
  <si>
    <t>Test Z-Axis Path</t>
  </si>
  <si>
    <t>A1480 (FS), A1510 (FS), A1500 (FS)</t>
  </si>
  <si>
    <t>A1550</t>
  </si>
  <si>
    <t>Test Magazine</t>
  </si>
  <si>
    <t>A1480 (FS), A1390 (FS), A1490 (FS)</t>
  </si>
  <si>
    <t>A1560</t>
  </si>
  <si>
    <t>Test Feeding</t>
  </si>
  <si>
    <t>A1480 (FS), A1750 (FS), A1490 (FS)</t>
  </si>
  <si>
    <t>A1570</t>
  </si>
  <si>
    <t>Test 3-DOF Robot</t>
  </si>
  <si>
    <t>DESIGN1.10.3</t>
  </si>
  <si>
    <t>Tinker Line &gt; Testing &amp; Commissioning &gt; Test Module</t>
  </si>
  <si>
    <t>A1530 (FS), A1520 (FS), A1540 (FS)</t>
  </si>
  <si>
    <t>A1580</t>
  </si>
  <si>
    <t>Test Magazine with Feeding</t>
  </si>
  <si>
    <t>A1550 (FS), A1560 (FS)</t>
  </si>
  <si>
    <t>A1620</t>
  </si>
  <si>
    <t>Test Whole System</t>
  </si>
  <si>
    <t>DESIGN1.10.4</t>
  </si>
  <si>
    <t>Tinker Line &gt; Testing &amp; Commissioning &gt; Test Integration</t>
  </si>
  <si>
    <t>A1570 (FS), A1580 (FS), A1840 (FS), A1440 (FS)</t>
  </si>
  <si>
    <t>A1630</t>
  </si>
  <si>
    <t>Repair for the final submission</t>
  </si>
  <si>
    <t>DESIGN1.11</t>
  </si>
  <si>
    <t>Tinker Line &gt; Handover</t>
  </si>
  <si>
    <t>A1620 (FS)</t>
  </si>
  <si>
    <t>KPI</t>
  </si>
  <si>
    <t>Value</t>
  </si>
  <si>
    <t>Total Activities</t>
  </si>
  <si>
    <t>Total Planned Duration (days)</t>
  </si>
  <si>
    <t>Completed Activities</t>
  </si>
  <si>
    <t>In Progress Activities</t>
  </si>
  <si>
    <t>Not Started Activities</t>
  </si>
  <si>
    <t>On Hold Activities</t>
  </si>
  <si>
    <t>Average Progress</t>
  </si>
  <si>
    <t>Activities</t>
  </si>
  <si>
    <t>Avg Progress</t>
  </si>
  <si>
    <t>In Progress</t>
  </si>
  <si>
    <t>Completed</t>
  </si>
  <si>
    <t>On Hold</t>
  </si>
  <si>
    <t>WBS / Work Package Summary</t>
  </si>
  <si>
    <t>DESIGN1 — INTERACTIVE PRIMAVERA GANTT CHART</t>
  </si>
  <si>
    <t>Status Filter</t>
  </si>
  <si>
    <t>All Statuses</t>
  </si>
  <si>
    <t>WBS Filter</t>
  </si>
  <si>
    <t>All WBS</t>
  </si>
  <si>
    <t>Planned</t>
  </si>
  <si>
    <t>Today</t>
  </si>
  <si>
    <t>Project</t>
  </si>
  <si>
    <t>Progress</t>
  </si>
  <si>
    <t>DESIGN1 — PRIMAVERA WBS STRUCTURE</t>
  </si>
  <si>
    <t>WBS ID</t>
  </si>
  <si>
    <t>Parent WBS ID</t>
  </si>
  <si>
    <t>WBS Name</t>
  </si>
  <si>
    <t>Parent Name</t>
  </si>
  <si>
    <t>Sequence</t>
  </si>
  <si>
    <t>26010</t>
  </si>
  <si>
    <t>3063</t>
  </si>
  <si>
    <t>DESIGN1</t>
  </si>
  <si>
    <t>Tinker Line</t>
  </si>
  <si>
    <t>7</t>
  </si>
  <si>
    <t>26012</t>
  </si>
  <si>
    <t>MilesStones</t>
  </si>
  <si>
    <t>1</t>
  </si>
  <si>
    <t>26014</t>
  </si>
  <si>
    <t>2</t>
  </si>
  <si>
    <t>26015</t>
  </si>
  <si>
    <t>3</t>
  </si>
  <si>
    <t>26016</t>
  </si>
  <si>
    <t>DESIGN1.4</t>
  </si>
  <si>
    <t>4</t>
  </si>
  <si>
    <t>26017</t>
  </si>
  <si>
    <t>DESIGN1.5</t>
  </si>
  <si>
    <t>6</t>
  </si>
  <si>
    <t>26018</t>
  </si>
  <si>
    <t>26019</t>
  </si>
  <si>
    <t>8</t>
  </si>
  <si>
    <t>26020</t>
  </si>
  <si>
    <t>9</t>
  </si>
  <si>
    <t>26022</t>
  </si>
  <si>
    <t>DESIGN1.10</t>
  </si>
  <si>
    <t>11</t>
  </si>
  <si>
    <t>26023</t>
  </si>
  <si>
    <t>13</t>
  </si>
  <si>
    <t>26024</t>
  </si>
  <si>
    <t>Embedded Code</t>
  </si>
  <si>
    <t>26025</t>
  </si>
  <si>
    <t>Wiring and Schematic</t>
  </si>
  <si>
    <t>26026</t>
  </si>
  <si>
    <t>Simulation</t>
  </si>
  <si>
    <t>26027</t>
  </si>
  <si>
    <t>Parts</t>
  </si>
  <si>
    <t>26028</t>
  </si>
  <si>
    <t>Assembly</t>
  </si>
  <si>
    <t>26030</t>
  </si>
  <si>
    <t>Test Component</t>
  </si>
  <si>
    <t>26031</t>
  </si>
  <si>
    <t>Test System</t>
  </si>
  <si>
    <t>26032</t>
  </si>
  <si>
    <t>Test Module</t>
  </si>
  <si>
    <t>26033</t>
  </si>
  <si>
    <t>Test Integration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</si>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</sst>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&quot;%&quot;"/>
    <numFmt numFmtId="165" formatCode="dd\-mmm\-yyyy"/>
    <numFmt numFmtId="166" formatCode="dd\-mmm"/>
  </numFmts>
  <fonts count="8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17365D"/>
      <name val="Calibri"/>
      <family val="2"/>
      <scheme val="minor"/>
    </font>
    <font>
      <sz val="11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/>
    <xf numFmtId="165" fontId="0" fillId="0" borderId="1" xfId="0" applyNumberFormat="1" applyBorder="1"/>
    <xf numFmtId="2" fontId="0" fillId="0" borderId="1" xfId="0" applyNumberFormat="1" applyBorder="1"/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1" fontId="0" fillId="0" borderId="1" xfId="0" applyNumberFormat="1" applyBorder="1"/>
    <xf numFmtId="9" fontId="0" fillId="0" borderId="1" xfId="0" applyNumberFormat="1" applyBorder="1"/>
    <xf numFmtId="9" fontId="5" fillId="5" borderId="1" xfId="0" applyNumberFormat="1" applyFont="1" applyFill="1" applyBorder="1" applyAlignment="1">
      <alignment horizontal="center"/>
    </xf>
    <xf numFmtId="0" fontId="6" fillId="0" borderId="0" xfId="0" applyFont="1"/>
    <xf numFmtId="0" fontId="7" fillId="6" borderId="0" xfId="0" applyFont="1" applyFill="1"/>
    <xf numFmtId="0" fontId="7" fillId="7" borderId="0" xfId="0" applyFont="1" applyFill="1"/>
    <xf numFmtId="0" fontId="0" fillId="8" borderId="0" xfId="0" applyFill="1"/>
    <xf numFmtId="166" fontId="3" fillId="3" borderId="1" xfId="0" applyNumberFormat="1" applyFont="1" applyFill="1" applyBorder="1" applyAlignment="1">
      <alignment horizontal="center" vertical="center" textRotation="90"/>
    </xf>
    <xf numFmtId="0" fontId="1" fillId="2" borderId="0" xfId="0" applyFont="1" applyFill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20"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ill>
        <patternFill>
          <bgColor rgb="FFF2F2F2"/>
        </patternFill>
      </fill>
    </dxf>
    <dxf>
      <font>
        <color rgb="FFFFFFFF"/>
      </font>
      <fill>
        <patternFill>
          <bgColor rgb="FF5B9BD5"/>
        </patternFill>
      </fill>
    </dxf>
    <dxf>
      <font>
        <color rgb="FFFFFFFF"/>
      </font>
      <fill>
        <patternFill>
          <bgColor rgb="FF70AD47"/>
        </patternFill>
      </fill>
    </dxf>
    <dxf>
      <fill>
        <patternFill>
          <bgColor rgb="FFFFC000"/>
        </patternFill>
      </fill>
    </dxf>
    <dxf>
      <fill>
        <patternFill>
          <bgColor rgb="FFF2F2F2"/>
        </patternFill>
      </fill>
    </dxf>
    <dxf>
      <font>
        <color rgb="FFC00000"/>
      </font>
      <fill>
        <patternFill>
          <bgColor rgb="FFFCE4D6"/>
        </patternFill>
      </fill>
    </dxf>
    <dxf>
      <font>
        <color rgb="FF9C6500"/>
      </font>
      <fill>
        <patternFill>
          <bgColor rgb="FFFFF2CC"/>
        </patternFill>
      </fill>
    </dxf>
    <dxf>
      <font>
        <color rgb="FF548235"/>
      </font>
      <fill>
        <patternFill>
          <b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Activities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Activities</c:v>
          </c:tx>
          <c:invertIfNegative val="0"/>
          <c:cat>
            <c:strRef>
              <c:f>'Pivot Summary'!$D$4:$D$7</c:f>
              <c:strCache>
                <c:ptCount val="4"/>
                <c:pt idx="0">
                  <c:v>Not Started</c:v>
                </c:pt>
                <c:pt idx="1">
                  <c:v>In Progress</c:v>
                </c:pt>
                <c:pt idx="2">
                  <c:v>Completed</c:v>
                </c:pt>
                <c:pt idx="3">
                  <c:v>On Hold</c:v>
                </c:pt>
              </c:strCache>
            </c:strRef>
          </c:cat>
          <c:val>
            <c:numRef>
              <c:f>'Pivot Summary'!$E$4:$E$7</c:f>
              <c:numCache>
                <c:formatCode>0</c:formatCode>
                <c:ptCount val="4"/>
                <c:pt idx="0">
                  <c:v>68</c:v>
                </c:pt>
                <c:pt idx="1">
                  <c:v>4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37-4DF4-AD3C-15516F32E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495300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Activities" displayName="tblActivities" ref="A4:O86" totalsRowShown="0">
  <autoFilter ref="A4:O86" xr:uid="{00000000-0009-0000-0100-000001000000}"/>
  <tableColumns count="15">
    <tableColumn id="1" xr3:uid="{00000000-0010-0000-0000-000001000000}" name="Activity ID"/>
    <tableColumn id="2" xr3:uid="{00000000-0010-0000-0000-000002000000}" name="Activity Name"/>
    <tableColumn id="3" xr3:uid="{00000000-0010-0000-0000-000003000000}" name="WBS Code"/>
    <tableColumn id="4" xr3:uid="{00000000-0010-0000-0000-000004000000}" name="WBS"/>
    <tableColumn id="5" xr3:uid="{00000000-0010-0000-0000-000005000000}" name="Status"/>
    <tableColumn id="6" xr3:uid="{00000000-0010-0000-0000-000006000000}" name="Progress %"/>
    <tableColumn id="7" xr3:uid="{00000000-0010-0000-0000-000007000000}" name="Start"/>
    <tableColumn id="8" xr3:uid="{00000000-0010-0000-0000-000008000000}" name="Finish"/>
    <tableColumn id="9" xr3:uid="{00000000-0010-0000-0000-000009000000}" name="Duration (days)"/>
    <tableColumn id="10" xr3:uid="{00000000-0010-0000-0000-00000A000000}" name="Predecessors"/>
    <tableColumn id="11" xr3:uid="{00000000-0010-0000-0000-00000B000000}" name="Total Float (h)"/>
    <tableColumn id="12" xr3:uid="{00000000-0010-0000-0000-00000C000000}" name="Early Start"/>
    <tableColumn id="13" xr3:uid="{00000000-0010-0000-0000-00000D000000}" name="Early Finish"/>
    <tableColumn id="14" xr3:uid="{00000000-0010-0000-0000-00000E000000}" name="Late Start"/>
    <tableColumn id="15" xr3:uid="{00000000-0010-0000-0000-00000F000000}" name="Late Finis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WBS" displayName="tblWBS" ref="A3:F23" totalsRowShown="0">
  <autoFilter ref="A3:F23" xr:uid="{00000000-0009-0000-0100-000002000000}"/>
  <tableColumns count="6">
    <tableColumn id="1" xr3:uid="{00000000-0010-0000-0100-000001000000}" name="WBS ID"/>
    <tableColumn id="2" xr3:uid="{00000000-0010-0000-0100-000002000000}" name="Parent WBS ID"/>
    <tableColumn id="3" xr3:uid="{00000000-0010-0000-0100-000003000000}" name="WBS Code"/>
    <tableColumn id="4" xr3:uid="{00000000-0010-0000-0100-000004000000}" name="WBS Name"/>
    <tableColumn id="5" xr3:uid="{00000000-0010-0000-0100-000005000000}" name="Parent Name"/>
    <tableColumn id="6" xr3:uid="{00000000-0010-0000-0100-000006000000}" name="Sequ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6"/>
  <sheetViews>
    <sheetView showGridLines="0" zoomScale="82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41" sqref="E41"/>
    </sheetView>
  </sheetViews>
  <sheetFormatPr defaultRowHeight="14.4" x14ac:dyDescent="0.3"/>
  <cols>
    <col min="1" max="1" width="12.6640625" customWidth="1"/>
    <col min="2" max="2" width="34.6640625" customWidth="1"/>
    <col min="3" max="3" width="15.6640625" customWidth="1"/>
    <col min="4" max="4" width="48.6640625" customWidth="1"/>
    <col min="5" max="5" width="14.6640625" customWidth="1"/>
    <col min="6" max="6" width="12.6640625" customWidth="1"/>
    <col min="7" max="8" width="14.6640625" customWidth="1"/>
    <col min="9" max="9" width="15.6640625" customWidth="1"/>
    <col min="10" max="10" width="30.6640625" customWidth="1"/>
    <col min="11" max="11" width="15.6640625" customWidth="1"/>
    <col min="12" max="15" width="14.6640625" customWidth="1"/>
  </cols>
  <sheetData>
    <row r="1" spans="1:15" ht="28.05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spans="1:15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</row>
    <row r="5" spans="1:15" x14ac:dyDescent="0.3">
      <c r="A5" s="1" t="s">
        <v>16</v>
      </c>
      <c r="B5" s="1" t="s">
        <v>17</v>
      </c>
      <c r="C5" s="1" t="s">
        <v>18</v>
      </c>
      <c r="D5" s="1" t="s">
        <v>19</v>
      </c>
      <c r="E5" s="1" t="s">
        <v>286</v>
      </c>
      <c r="F5" s="2">
        <v>0</v>
      </c>
      <c r="G5" s="3">
        <v>46292.333333333343</v>
      </c>
      <c r="H5" s="3">
        <v>46292.333333333343</v>
      </c>
      <c r="I5" s="4">
        <v>0</v>
      </c>
      <c r="J5" s="1"/>
      <c r="K5" s="4">
        <v>8</v>
      </c>
      <c r="L5" s="3">
        <v>46292.333333333343</v>
      </c>
      <c r="M5" s="3">
        <v>46292.333333333343</v>
      </c>
      <c r="N5" s="3">
        <v>46293.333333333343</v>
      </c>
      <c r="O5" s="3">
        <v>46293.333333333343</v>
      </c>
    </row>
    <row r="6" spans="1:15" x14ac:dyDescent="0.3">
      <c r="A6" s="1" t="s">
        <v>21</v>
      </c>
      <c r="B6" s="1" t="s">
        <v>22</v>
      </c>
      <c r="C6" s="1" t="s">
        <v>18</v>
      </c>
      <c r="D6" s="1" t="s">
        <v>19</v>
      </c>
      <c r="E6" s="1" t="s">
        <v>286</v>
      </c>
      <c r="F6" s="2">
        <v>0</v>
      </c>
      <c r="G6" s="3">
        <v>46294.666666666657</v>
      </c>
      <c r="H6" s="3">
        <v>46294.666666666657</v>
      </c>
      <c r="I6" s="4">
        <v>0</v>
      </c>
      <c r="J6" s="1" t="s">
        <v>23</v>
      </c>
      <c r="K6" s="4">
        <v>544</v>
      </c>
      <c r="L6" s="3">
        <v>46294.666666666657</v>
      </c>
      <c r="M6" s="3">
        <v>46294.666666666657</v>
      </c>
      <c r="N6" s="3">
        <v>46385.666666666657</v>
      </c>
      <c r="O6" s="3">
        <v>46385.666666666657</v>
      </c>
    </row>
    <row r="7" spans="1:15" x14ac:dyDescent="0.3">
      <c r="A7" s="1" t="s">
        <v>24</v>
      </c>
      <c r="B7" s="1" t="s">
        <v>25</v>
      </c>
      <c r="C7" s="1" t="s">
        <v>18</v>
      </c>
      <c r="D7" s="1" t="s">
        <v>19</v>
      </c>
      <c r="E7" s="1" t="s">
        <v>285</v>
      </c>
      <c r="F7" s="2">
        <v>0</v>
      </c>
      <c r="G7" s="3">
        <v>46325.666666666657</v>
      </c>
      <c r="H7" s="3">
        <v>46325.666666666657</v>
      </c>
      <c r="I7" s="4">
        <v>0</v>
      </c>
      <c r="J7" s="1" t="s">
        <v>26</v>
      </c>
      <c r="K7" s="4">
        <v>328</v>
      </c>
      <c r="L7" s="3">
        <v>46325.666666666657</v>
      </c>
      <c r="M7" s="3">
        <v>46325.666666666657</v>
      </c>
      <c r="N7" s="3">
        <v>46385.666666666657</v>
      </c>
      <c r="O7" s="3">
        <v>46385.666666666657</v>
      </c>
    </row>
    <row r="8" spans="1:15" x14ac:dyDescent="0.3">
      <c r="A8" s="1" t="s">
        <v>27</v>
      </c>
      <c r="B8" s="1" t="s">
        <v>28</v>
      </c>
      <c r="C8" s="1" t="s">
        <v>18</v>
      </c>
      <c r="D8" s="1" t="s">
        <v>19</v>
      </c>
      <c r="E8" s="1" t="s">
        <v>287</v>
      </c>
      <c r="F8" s="2">
        <v>0</v>
      </c>
      <c r="G8" s="3">
        <v>46358.666666666657</v>
      </c>
      <c r="H8" s="3">
        <v>46358.666666666657</v>
      </c>
      <c r="I8" s="4">
        <v>0</v>
      </c>
      <c r="J8" s="1" t="s">
        <v>29</v>
      </c>
      <c r="K8" s="4">
        <v>184</v>
      </c>
      <c r="L8" s="3">
        <v>46358.666666666657</v>
      </c>
      <c r="M8" s="3">
        <v>46358.666666666657</v>
      </c>
      <c r="N8" s="3">
        <v>46385.666666666657</v>
      </c>
      <c r="O8" s="3">
        <v>46385.666666666657</v>
      </c>
    </row>
    <row r="9" spans="1:15" x14ac:dyDescent="0.3">
      <c r="A9" s="1" t="s">
        <v>30</v>
      </c>
      <c r="B9" s="1" t="s">
        <v>31</v>
      </c>
      <c r="C9" s="1" t="s">
        <v>18</v>
      </c>
      <c r="D9" s="1" t="s">
        <v>19</v>
      </c>
      <c r="E9" s="1" t="s">
        <v>20</v>
      </c>
      <c r="F9" s="2">
        <v>0</v>
      </c>
      <c r="G9" s="3">
        <v>46364.666666666657</v>
      </c>
      <c r="H9" s="3">
        <v>46364.666666666657</v>
      </c>
      <c r="I9" s="4">
        <v>0</v>
      </c>
      <c r="J9" s="1" t="s">
        <v>32</v>
      </c>
      <c r="K9" s="4">
        <v>144</v>
      </c>
      <c r="L9" s="3">
        <v>46364.666666666657</v>
      </c>
      <c r="M9" s="3">
        <v>46364.666666666657</v>
      </c>
      <c r="N9" s="3">
        <v>46385.666666666657</v>
      </c>
      <c r="O9" s="3">
        <v>46385.666666666657</v>
      </c>
    </row>
    <row r="10" spans="1:15" x14ac:dyDescent="0.3">
      <c r="A10" s="1" t="s">
        <v>33</v>
      </c>
      <c r="B10" s="1" t="s">
        <v>34</v>
      </c>
      <c r="C10" s="1" t="s">
        <v>18</v>
      </c>
      <c r="D10" s="1" t="s">
        <v>19</v>
      </c>
      <c r="E10" s="1" t="s">
        <v>20</v>
      </c>
      <c r="F10" s="2">
        <v>0</v>
      </c>
      <c r="G10" s="3">
        <v>46325.666666666657</v>
      </c>
      <c r="H10" s="3">
        <v>46325.666666666657</v>
      </c>
      <c r="I10" s="4">
        <v>0</v>
      </c>
      <c r="J10" s="1" t="s">
        <v>26</v>
      </c>
      <c r="K10" s="4">
        <v>328</v>
      </c>
      <c r="L10" s="3">
        <v>46325.666666666657</v>
      </c>
      <c r="M10" s="3">
        <v>46325.666666666657</v>
      </c>
      <c r="N10" s="3">
        <v>46385.666666666657</v>
      </c>
      <c r="O10" s="3">
        <v>46385.666666666657</v>
      </c>
    </row>
    <row r="11" spans="1:15" x14ac:dyDescent="0.3">
      <c r="A11" s="1" t="s">
        <v>35</v>
      </c>
      <c r="B11" s="1" t="s">
        <v>36</v>
      </c>
      <c r="C11" s="1" t="s">
        <v>18</v>
      </c>
      <c r="D11" s="1" t="s">
        <v>19</v>
      </c>
      <c r="E11" s="1" t="s">
        <v>20</v>
      </c>
      <c r="F11" s="2">
        <v>0</v>
      </c>
      <c r="G11" s="3">
        <v>46373.666666666657</v>
      </c>
      <c r="H11" s="3">
        <v>46373.666666666657</v>
      </c>
      <c r="I11" s="4">
        <v>0</v>
      </c>
      <c r="J11" s="1" t="s">
        <v>37</v>
      </c>
      <c r="K11" s="4">
        <v>80</v>
      </c>
      <c r="L11" s="3">
        <v>46373.666666666657</v>
      </c>
      <c r="M11" s="3">
        <v>46373.666666666657</v>
      </c>
      <c r="N11" s="3">
        <v>46385.666666666657</v>
      </c>
      <c r="O11" s="3">
        <v>46385.666666666657</v>
      </c>
    </row>
    <row r="12" spans="1:15" x14ac:dyDescent="0.3">
      <c r="A12" s="1" t="s">
        <v>38</v>
      </c>
      <c r="B12" s="1" t="s">
        <v>39</v>
      </c>
      <c r="C12" s="1" t="s">
        <v>18</v>
      </c>
      <c r="D12" s="1" t="s">
        <v>19</v>
      </c>
      <c r="E12" s="1" t="s">
        <v>20</v>
      </c>
      <c r="F12" s="2">
        <v>0</v>
      </c>
      <c r="G12" s="3">
        <v>46381.666666666657</v>
      </c>
      <c r="H12" s="3">
        <v>46381.666666666657</v>
      </c>
      <c r="I12" s="4">
        <v>0</v>
      </c>
      <c r="J12" s="1" t="s">
        <v>40</v>
      </c>
      <c r="K12" s="4">
        <v>24</v>
      </c>
      <c r="L12" s="3">
        <v>46381.666666666657</v>
      </c>
      <c r="M12" s="3">
        <v>46381.666666666657</v>
      </c>
      <c r="N12" s="3">
        <v>46385.666666666657</v>
      </c>
      <c r="O12" s="3">
        <v>46385.666666666657</v>
      </c>
    </row>
    <row r="13" spans="1:15" x14ac:dyDescent="0.3">
      <c r="A13" s="1" t="s">
        <v>41</v>
      </c>
      <c r="B13" s="1" t="s">
        <v>42</v>
      </c>
      <c r="C13" s="1" t="s">
        <v>18</v>
      </c>
      <c r="D13" s="1" t="s">
        <v>19</v>
      </c>
      <c r="E13" s="1" t="s">
        <v>20</v>
      </c>
      <c r="F13" s="2">
        <v>0</v>
      </c>
      <c r="G13" s="3">
        <v>46384.666666666657</v>
      </c>
      <c r="H13" s="3">
        <v>46384.666666666657</v>
      </c>
      <c r="I13" s="4">
        <v>0</v>
      </c>
      <c r="J13" s="1" t="s">
        <v>43</v>
      </c>
      <c r="K13" s="4">
        <v>8</v>
      </c>
      <c r="L13" s="3">
        <v>46384.666666666657</v>
      </c>
      <c r="M13" s="3">
        <v>46384.666666666657</v>
      </c>
      <c r="N13" s="3">
        <v>46385.666666666657</v>
      </c>
      <c r="O13" s="3">
        <v>46385.666666666657</v>
      </c>
    </row>
    <row r="14" spans="1:15" x14ac:dyDescent="0.3">
      <c r="A14" s="1" t="s">
        <v>44</v>
      </c>
      <c r="B14" s="1" t="s">
        <v>45</v>
      </c>
      <c r="C14" s="1" t="s">
        <v>46</v>
      </c>
      <c r="D14" s="1" t="s">
        <v>47</v>
      </c>
      <c r="E14" s="1" t="s">
        <v>286</v>
      </c>
      <c r="F14" s="2">
        <v>0</v>
      </c>
      <c r="G14" s="3">
        <v>46292.333333333343</v>
      </c>
      <c r="H14" s="3">
        <v>46293.666666666657</v>
      </c>
      <c r="I14" s="4">
        <v>2</v>
      </c>
      <c r="J14" s="1" t="s">
        <v>48</v>
      </c>
      <c r="K14" s="4">
        <v>8</v>
      </c>
      <c r="L14" s="3">
        <v>46292.333333333343</v>
      </c>
      <c r="M14" s="3">
        <v>46293.666666666657</v>
      </c>
      <c r="N14" s="3">
        <v>46293.333333333343</v>
      </c>
      <c r="O14" s="3">
        <v>46294.666666666657</v>
      </c>
    </row>
    <row r="15" spans="1:15" x14ac:dyDescent="0.3">
      <c r="A15" s="1" t="s">
        <v>49</v>
      </c>
      <c r="B15" s="1" t="s">
        <v>50</v>
      </c>
      <c r="C15" s="1" t="s">
        <v>46</v>
      </c>
      <c r="D15" s="1" t="s">
        <v>47</v>
      </c>
      <c r="E15" s="1" t="s">
        <v>286</v>
      </c>
      <c r="F15" s="2">
        <v>0</v>
      </c>
      <c r="G15" s="3">
        <v>46292.333333333343</v>
      </c>
      <c r="H15" s="3">
        <v>46293.666666666657</v>
      </c>
      <c r="I15" s="4">
        <v>2</v>
      </c>
      <c r="J15" s="1" t="s">
        <v>51</v>
      </c>
      <c r="K15" s="4">
        <v>8</v>
      </c>
      <c r="L15" s="3">
        <v>46292.333333333343</v>
      </c>
      <c r="M15" s="3">
        <v>46293.666666666657</v>
      </c>
      <c r="N15" s="3">
        <v>46293.333333333343</v>
      </c>
      <c r="O15" s="3">
        <v>46294.666666666657</v>
      </c>
    </row>
    <row r="16" spans="1:15" x14ac:dyDescent="0.3">
      <c r="A16" s="1" t="s">
        <v>52</v>
      </c>
      <c r="B16" s="1" t="s">
        <v>53</v>
      </c>
      <c r="C16" s="1" t="s">
        <v>46</v>
      </c>
      <c r="D16" s="1" t="s">
        <v>47</v>
      </c>
      <c r="E16" s="1" t="s">
        <v>286</v>
      </c>
      <c r="F16" s="2">
        <v>0</v>
      </c>
      <c r="G16" s="3">
        <v>46292.333333333343</v>
      </c>
      <c r="H16" s="3">
        <v>46293.666666666657</v>
      </c>
      <c r="I16" s="4">
        <v>2</v>
      </c>
      <c r="J16" s="1" t="s">
        <v>54</v>
      </c>
      <c r="K16" s="4">
        <v>8</v>
      </c>
      <c r="L16" s="3">
        <v>46292.333333333343</v>
      </c>
      <c r="M16" s="3">
        <v>46293.666666666657</v>
      </c>
      <c r="N16" s="3">
        <v>46293.333333333343</v>
      </c>
      <c r="O16" s="3">
        <v>46294.666666666657</v>
      </c>
    </row>
    <row r="17" spans="1:15" x14ac:dyDescent="0.3">
      <c r="A17" s="1" t="s">
        <v>55</v>
      </c>
      <c r="B17" s="1" t="s">
        <v>56</v>
      </c>
      <c r="C17" s="1" t="s">
        <v>57</v>
      </c>
      <c r="D17" s="1" t="s">
        <v>58</v>
      </c>
      <c r="E17" s="1" t="s">
        <v>286</v>
      </c>
      <c r="F17" s="2">
        <v>0</v>
      </c>
      <c r="G17" s="3">
        <v>46293.333333333343</v>
      </c>
      <c r="H17" s="3">
        <v>46293.666666666657</v>
      </c>
      <c r="I17" s="4">
        <v>1</v>
      </c>
      <c r="J17" s="1" t="s">
        <v>59</v>
      </c>
      <c r="K17" s="4">
        <v>8</v>
      </c>
      <c r="L17" s="3">
        <v>46293.333333333343</v>
      </c>
      <c r="M17" s="3">
        <v>46293.666666666657</v>
      </c>
      <c r="N17" s="3">
        <v>46294.333333333343</v>
      </c>
      <c r="O17" s="3">
        <v>46294.666666666657</v>
      </c>
    </row>
    <row r="18" spans="1:15" x14ac:dyDescent="0.3">
      <c r="A18" s="1" t="s">
        <v>60</v>
      </c>
      <c r="B18" s="1" t="s">
        <v>61</v>
      </c>
      <c r="C18" s="1" t="s">
        <v>57</v>
      </c>
      <c r="D18" s="1" t="s">
        <v>58</v>
      </c>
      <c r="E18" s="1" t="s">
        <v>286</v>
      </c>
      <c r="F18" s="2">
        <v>0</v>
      </c>
      <c r="G18" s="3">
        <v>46293.333333333343</v>
      </c>
      <c r="H18" s="3">
        <v>46293.666666666657</v>
      </c>
      <c r="I18" s="4">
        <v>1</v>
      </c>
      <c r="J18" s="1" t="s">
        <v>62</v>
      </c>
      <c r="K18" s="4">
        <v>16</v>
      </c>
      <c r="L18" s="3">
        <v>46293.333333333343</v>
      </c>
      <c r="M18" s="3">
        <v>46293.666666666657</v>
      </c>
      <c r="N18" s="3">
        <v>46295.333333333343</v>
      </c>
      <c r="O18" s="3">
        <v>46295.666666666657</v>
      </c>
    </row>
    <row r="19" spans="1:15" x14ac:dyDescent="0.3">
      <c r="A19" s="1" t="s">
        <v>63</v>
      </c>
      <c r="B19" s="1" t="s">
        <v>64</v>
      </c>
      <c r="C19" s="1" t="s">
        <v>57</v>
      </c>
      <c r="D19" s="1" t="s">
        <v>58</v>
      </c>
      <c r="E19" s="1" t="s">
        <v>286</v>
      </c>
      <c r="F19" s="2">
        <v>0</v>
      </c>
      <c r="G19" s="3">
        <v>46294.333333333343</v>
      </c>
      <c r="H19" s="3">
        <v>46294.666666666657</v>
      </c>
      <c r="I19" s="4">
        <v>1</v>
      </c>
      <c r="J19" s="1" t="s">
        <v>65</v>
      </c>
      <c r="K19" s="4">
        <v>8</v>
      </c>
      <c r="L19" s="3">
        <v>46294.333333333343</v>
      </c>
      <c r="M19" s="3">
        <v>46294.666666666657</v>
      </c>
      <c r="N19" s="3">
        <v>46295.333333333343</v>
      </c>
      <c r="O19" s="3">
        <v>46295.666666666657</v>
      </c>
    </row>
    <row r="20" spans="1:15" x14ac:dyDescent="0.3">
      <c r="A20" s="1" t="s">
        <v>66</v>
      </c>
      <c r="B20" s="1" t="s">
        <v>67</v>
      </c>
      <c r="C20" s="1" t="s">
        <v>68</v>
      </c>
      <c r="D20" s="1" t="s">
        <v>69</v>
      </c>
      <c r="E20" s="1" t="s">
        <v>20</v>
      </c>
      <c r="F20" s="2">
        <v>0</v>
      </c>
      <c r="G20" s="3">
        <v>46295.333333333343</v>
      </c>
      <c r="H20" s="3">
        <v>46295.666666666657</v>
      </c>
      <c r="I20" s="4">
        <v>1</v>
      </c>
      <c r="J20" s="1" t="s">
        <v>23</v>
      </c>
      <c r="K20" s="4">
        <v>152</v>
      </c>
      <c r="L20" s="3">
        <v>46295.333333333343</v>
      </c>
      <c r="M20" s="3">
        <v>46295.666666666657</v>
      </c>
      <c r="N20" s="3">
        <v>46317.333333333343</v>
      </c>
      <c r="O20" s="3">
        <v>46317.666666666657</v>
      </c>
    </row>
    <row r="21" spans="1:15" x14ac:dyDescent="0.3">
      <c r="A21" s="1" t="s">
        <v>70</v>
      </c>
      <c r="B21" s="1" t="s">
        <v>71</v>
      </c>
      <c r="C21" s="1" t="s">
        <v>68</v>
      </c>
      <c r="D21" s="1" t="s">
        <v>69</v>
      </c>
      <c r="E21" s="1" t="s">
        <v>20</v>
      </c>
      <c r="F21" s="2">
        <v>0</v>
      </c>
      <c r="G21" s="3">
        <v>46301.333333333343</v>
      </c>
      <c r="H21" s="3">
        <v>46301.666666666657</v>
      </c>
      <c r="I21" s="4">
        <v>1</v>
      </c>
      <c r="J21" s="1" t="s">
        <v>72</v>
      </c>
      <c r="K21" s="4">
        <v>112</v>
      </c>
      <c r="L21" s="3">
        <v>46301.333333333343</v>
      </c>
      <c r="M21" s="3">
        <v>46301.666666666657</v>
      </c>
      <c r="N21" s="3">
        <v>46317.333333333343</v>
      </c>
      <c r="O21" s="3">
        <v>46317.666666666657</v>
      </c>
    </row>
    <row r="22" spans="1:15" x14ac:dyDescent="0.3">
      <c r="A22" s="1" t="s">
        <v>73</v>
      </c>
      <c r="B22" s="1" t="s">
        <v>74</v>
      </c>
      <c r="C22" s="1" t="s">
        <v>68</v>
      </c>
      <c r="D22" s="1" t="s">
        <v>69</v>
      </c>
      <c r="E22" s="1" t="s">
        <v>20</v>
      </c>
      <c r="F22" s="2">
        <v>0</v>
      </c>
      <c r="G22" s="3">
        <v>46301.333333333343</v>
      </c>
      <c r="H22" s="3">
        <v>46301.666666666657</v>
      </c>
      <c r="I22" s="4">
        <v>1</v>
      </c>
      <c r="J22" s="1" t="s">
        <v>72</v>
      </c>
      <c r="K22" s="4">
        <v>24</v>
      </c>
      <c r="L22" s="3">
        <v>46301.333333333343</v>
      </c>
      <c r="M22" s="3">
        <v>46301.666666666657</v>
      </c>
      <c r="N22" s="3">
        <v>46304.333333333343</v>
      </c>
      <c r="O22" s="3">
        <v>46304.666666666657</v>
      </c>
    </row>
    <row r="23" spans="1:15" x14ac:dyDescent="0.3">
      <c r="A23" s="1" t="s">
        <v>75</v>
      </c>
      <c r="B23" s="1" t="s">
        <v>76</v>
      </c>
      <c r="C23" s="1" t="s">
        <v>68</v>
      </c>
      <c r="D23" s="1" t="s">
        <v>69</v>
      </c>
      <c r="E23" s="1" t="s">
        <v>285</v>
      </c>
      <c r="F23" s="2">
        <v>0</v>
      </c>
      <c r="G23" s="3">
        <v>46302.333333333343</v>
      </c>
      <c r="H23" s="3">
        <v>46303.666666666657</v>
      </c>
      <c r="I23" s="4">
        <v>2</v>
      </c>
      <c r="J23" s="1" t="s">
        <v>77</v>
      </c>
      <c r="K23" s="4">
        <v>480</v>
      </c>
      <c r="L23" s="3">
        <v>46302.333333333343</v>
      </c>
      <c r="M23" s="3">
        <v>46303.666666666657</v>
      </c>
      <c r="N23" s="3">
        <v>46384.333333333343</v>
      </c>
      <c r="O23" s="3">
        <v>46385.666666666657</v>
      </c>
    </row>
    <row r="24" spans="1:15" x14ac:dyDescent="0.3">
      <c r="A24" s="1" t="s">
        <v>78</v>
      </c>
      <c r="B24" s="1" t="s">
        <v>79</v>
      </c>
      <c r="C24" s="1" t="s">
        <v>68</v>
      </c>
      <c r="D24" s="1" t="s">
        <v>69</v>
      </c>
      <c r="E24" s="1" t="s">
        <v>20</v>
      </c>
      <c r="F24" s="2">
        <v>0</v>
      </c>
      <c r="G24" s="3">
        <v>46301.333333333343</v>
      </c>
      <c r="H24" s="3">
        <v>46302.666666666657</v>
      </c>
      <c r="I24" s="4">
        <v>2</v>
      </c>
      <c r="J24" s="1" t="s">
        <v>72</v>
      </c>
      <c r="K24" s="4">
        <v>8</v>
      </c>
      <c r="L24" s="3">
        <v>46301.333333333343</v>
      </c>
      <c r="M24" s="3">
        <v>46302.666666666657</v>
      </c>
      <c r="N24" s="3">
        <v>46302.333333333343</v>
      </c>
      <c r="O24" s="3">
        <v>46303.666666666657</v>
      </c>
    </row>
    <row r="25" spans="1:15" x14ac:dyDescent="0.3">
      <c r="A25" s="1" t="s">
        <v>80</v>
      </c>
      <c r="B25" s="1" t="s">
        <v>81</v>
      </c>
      <c r="C25" s="1" t="s">
        <v>68</v>
      </c>
      <c r="D25" s="1" t="s">
        <v>69</v>
      </c>
      <c r="E25" s="1" t="s">
        <v>20</v>
      </c>
      <c r="F25" s="2">
        <v>0</v>
      </c>
      <c r="G25" s="3">
        <v>46306.333333333343</v>
      </c>
      <c r="H25" s="3">
        <v>46306.666666666657</v>
      </c>
      <c r="I25" s="4">
        <v>1</v>
      </c>
      <c r="J25" s="1" t="s">
        <v>82</v>
      </c>
      <c r="K25" s="4">
        <v>464</v>
      </c>
      <c r="L25" s="3">
        <v>46306.333333333343</v>
      </c>
      <c r="M25" s="3">
        <v>46306.666666666657</v>
      </c>
      <c r="N25" s="3">
        <v>46385.333333333343</v>
      </c>
      <c r="O25" s="3">
        <v>46385.666666666657</v>
      </c>
    </row>
    <row r="26" spans="1:15" x14ac:dyDescent="0.3">
      <c r="A26" s="1" t="s">
        <v>83</v>
      </c>
      <c r="B26" s="1" t="s">
        <v>84</v>
      </c>
      <c r="C26" s="1" t="s">
        <v>68</v>
      </c>
      <c r="D26" s="1" t="s">
        <v>69</v>
      </c>
      <c r="E26" s="1" t="s">
        <v>20</v>
      </c>
      <c r="F26" s="2">
        <v>0</v>
      </c>
      <c r="G26" s="3">
        <v>46311.333333333343</v>
      </c>
      <c r="H26" s="3">
        <v>46313.666666666657</v>
      </c>
      <c r="I26" s="4">
        <v>2</v>
      </c>
      <c r="J26" s="1" t="s">
        <v>85</v>
      </c>
      <c r="K26" s="4">
        <v>416</v>
      </c>
      <c r="L26" s="3">
        <v>46311.333333333343</v>
      </c>
      <c r="M26" s="3">
        <v>46313.666666666657</v>
      </c>
      <c r="N26" s="3">
        <v>46384.333333333343</v>
      </c>
      <c r="O26" s="3">
        <v>46385.666666666657</v>
      </c>
    </row>
    <row r="27" spans="1:15" x14ac:dyDescent="0.3">
      <c r="A27" s="1" t="s">
        <v>86</v>
      </c>
      <c r="B27" s="1" t="s">
        <v>87</v>
      </c>
      <c r="C27" s="1" t="s">
        <v>68</v>
      </c>
      <c r="D27" s="1" t="s">
        <v>69</v>
      </c>
      <c r="E27" s="1" t="s">
        <v>20</v>
      </c>
      <c r="F27" s="2">
        <v>0</v>
      </c>
      <c r="G27" s="3">
        <v>46301.333333333343</v>
      </c>
      <c r="H27" s="3">
        <v>46306.666666666657</v>
      </c>
      <c r="I27" s="4">
        <v>5</v>
      </c>
      <c r="J27" s="1" t="s">
        <v>72</v>
      </c>
      <c r="K27" s="4">
        <v>464</v>
      </c>
      <c r="L27" s="3">
        <v>46301.333333333343</v>
      </c>
      <c r="M27" s="3">
        <v>46306.666666666657</v>
      </c>
      <c r="N27" s="3">
        <v>46380.333333333343</v>
      </c>
      <c r="O27" s="3">
        <v>46385.666666666657</v>
      </c>
    </row>
    <row r="28" spans="1:15" x14ac:dyDescent="0.3">
      <c r="A28" s="1" t="s">
        <v>88</v>
      </c>
      <c r="B28" s="1" t="s">
        <v>89</v>
      </c>
      <c r="C28" s="1" t="s">
        <v>68</v>
      </c>
      <c r="D28" s="1" t="s">
        <v>69</v>
      </c>
      <c r="E28" s="1" t="s">
        <v>20</v>
      </c>
      <c r="F28" s="2">
        <v>0</v>
      </c>
      <c r="G28" s="3">
        <v>46301.333333333343</v>
      </c>
      <c r="H28" s="3">
        <v>46306.666666666657</v>
      </c>
      <c r="I28" s="4">
        <v>5</v>
      </c>
      <c r="J28" s="1" t="s">
        <v>72</v>
      </c>
      <c r="K28" s="4">
        <v>464</v>
      </c>
      <c r="L28" s="3">
        <v>46301.333333333343</v>
      </c>
      <c r="M28" s="3">
        <v>46306.666666666657</v>
      </c>
      <c r="N28" s="3">
        <v>46380.333333333343</v>
      </c>
      <c r="O28" s="3">
        <v>46385.666666666657</v>
      </c>
    </row>
    <row r="29" spans="1:15" x14ac:dyDescent="0.3">
      <c r="A29" s="1" t="s">
        <v>90</v>
      </c>
      <c r="B29" s="1" t="s">
        <v>91</v>
      </c>
      <c r="C29" s="1" t="s">
        <v>68</v>
      </c>
      <c r="D29" s="1" t="s">
        <v>69</v>
      </c>
      <c r="E29" s="1" t="s">
        <v>20</v>
      </c>
      <c r="F29" s="2">
        <v>0</v>
      </c>
      <c r="G29" s="3">
        <v>46301.333333333343</v>
      </c>
      <c r="H29" s="3">
        <v>46302.666666666657</v>
      </c>
      <c r="I29" s="4">
        <v>2</v>
      </c>
      <c r="J29" s="1" t="s">
        <v>72</v>
      </c>
      <c r="K29" s="4">
        <v>8</v>
      </c>
      <c r="L29" s="3">
        <v>46301.333333333343</v>
      </c>
      <c r="M29" s="3">
        <v>46302.666666666657</v>
      </c>
      <c r="N29" s="3">
        <v>46302.333333333343</v>
      </c>
      <c r="O29" s="3">
        <v>46303.666666666657</v>
      </c>
    </row>
    <row r="30" spans="1:15" x14ac:dyDescent="0.3">
      <c r="A30" s="1" t="s">
        <v>92</v>
      </c>
      <c r="B30" s="1" t="s">
        <v>93</v>
      </c>
      <c r="C30" s="1" t="s">
        <v>68</v>
      </c>
      <c r="D30" s="1" t="s">
        <v>69</v>
      </c>
      <c r="E30" s="1" t="s">
        <v>20</v>
      </c>
      <c r="F30" s="2">
        <v>0</v>
      </c>
      <c r="G30" s="3">
        <v>46292.333333333343</v>
      </c>
      <c r="H30" s="3">
        <v>46293.666666666657</v>
      </c>
      <c r="I30" s="4">
        <v>2</v>
      </c>
      <c r="J30" s="1"/>
      <c r="K30" s="4">
        <v>80</v>
      </c>
      <c r="L30" s="3">
        <v>46292.333333333343</v>
      </c>
      <c r="M30" s="3">
        <v>46293.666666666657</v>
      </c>
      <c r="N30" s="3">
        <v>46303.333333333343</v>
      </c>
      <c r="O30" s="3">
        <v>46304.666666666657</v>
      </c>
    </row>
    <row r="31" spans="1:15" x14ac:dyDescent="0.3">
      <c r="A31" s="1" t="s">
        <v>94</v>
      </c>
      <c r="B31" s="1" t="s">
        <v>95</v>
      </c>
      <c r="C31" s="1" t="s">
        <v>68</v>
      </c>
      <c r="D31" s="1" t="s">
        <v>69</v>
      </c>
      <c r="E31" s="1" t="s">
        <v>285</v>
      </c>
      <c r="F31" s="2">
        <v>0</v>
      </c>
      <c r="G31" s="3">
        <v>46292.333333333343</v>
      </c>
      <c r="H31" s="3">
        <v>46293.666666666657</v>
      </c>
      <c r="I31" s="4">
        <v>2</v>
      </c>
      <c r="J31" s="1"/>
      <c r="K31" s="4">
        <v>128</v>
      </c>
      <c r="L31" s="3">
        <v>46292.333333333343</v>
      </c>
      <c r="M31" s="3">
        <v>46293.666666666657</v>
      </c>
      <c r="N31" s="3">
        <v>46310.333333333343</v>
      </c>
      <c r="O31" s="3">
        <v>46311.666666666657</v>
      </c>
    </row>
    <row r="32" spans="1:15" x14ac:dyDescent="0.3">
      <c r="A32" s="1" t="s">
        <v>96</v>
      </c>
      <c r="B32" s="1" t="s">
        <v>97</v>
      </c>
      <c r="C32" s="1" t="s">
        <v>98</v>
      </c>
      <c r="D32" s="1" t="s">
        <v>99</v>
      </c>
      <c r="E32" s="1" t="s">
        <v>20</v>
      </c>
      <c r="F32" s="2">
        <v>0</v>
      </c>
      <c r="G32" s="3">
        <v>46301.333333333343</v>
      </c>
      <c r="H32" s="3">
        <v>46303.666666666657</v>
      </c>
      <c r="I32" s="4">
        <v>3</v>
      </c>
      <c r="J32" s="1" t="s">
        <v>100</v>
      </c>
      <c r="K32" s="4">
        <v>8</v>
      </c>
      <c r="L32" s="3">
        <v>46301.333333333343</v>
      </c>
      <c r="M32" s="3">
        <v>46303.666666666657</v>
      </c>
      <c r="N32" s="3">
        <v>46302.333333333343</v>
      </c>
      <c r="O32" s="3">
        <v>46304.666666666657</v>
      </c>
    </row>
    <row r="33" spans="1:15" x14ac:dyDescent="0.3">
      <c r="A33" s="1" t="s">
        <v>101</v>
      </c>
      <c r="B33" s="1" t="s">
        <v>102</v>
      </c>
      <c r="C33" s="1" t="s">
        <v>98</v>
      </c>
      <c r="D33" s="1" t="s">
        <v>99</v>
      </c>
      <c r="E33" s="1" t="s">
        <v>20</v>
      </c>
      <c r="F33" s="2">
        <v>0</v>
      </c>
      <c r="G33" s="3">
        <v>46301.333333333343</v>
      </c>
      <c r="H33" s="3">
        <v>46303.666666666657</v>
      </c>
      <c r="I33" s="4">
        <v>3</v>
      </c>
      <c r="J33" s="1" t="s">
        <v>103</v>
      </c>
      <c r="K33" s="4">
        <v>8</v>
      </c>
      <c r="L33" s="3">
        <v>46301.333333333343</v>
      </c>
      <c r="M33" s="3">
        <v>46303.666666666657</v>
      </c>
      <c r="N33" s="3">
        <v>46302.333333333343</v>
      </c>
      <c r="O33" s="3">
        <v>46304.666666666657</v>
      </c>
    </row>
    <row r="34" spans="1:15" x14ac:dyDescent="0.3">
      <c r="A34" s="1" t="s">
        <v>104</v>
      </c>
      <c r="B34" s="1" t="s">
        <v>105</v>
      </c>
      <c r="C34" s="1" t="s">
        <v>98</v>
      </c>
      <c r="D34" s="1" t="s">
        <v>99</v>
      </c>
      <c r="E34" s="1" t="s">
        <v>20</v>
      </c>
      <c r="F34" s="2">
        <v>0</v>
      </c>
      <c r="G34" s="3">
        <v>46304.333333333343</v>
      </c>
      <c r="H34" s="3">
        <v>46309.666666666657</v>
      </c>
      <c r="I34" s="4">
        <v>5</v>
      </c>
      <c r="J34" s="1" t="s">
        <v>106</v>
      </c>
      <c r="K34" s="4">
        <v>8</v>
      </c>
      <c r="L34" s="3">
        <v>46304.333333333343</v>
      </c>
      <c r="M34" s="3">
        <v>46309.666666666657</v>
      </c>
      <c r="N34" s="3">
        <v>46306.333333333343</v>
      </c>
      <c r="O34" s="3">
        <v>46310.666666666657</v>
      </c>
    </row>
    <row r="35" spans="1:15" x14ac:dyDescent="0.3">
      <c r="A35" s="1" t="s">
        <v>107</v>
      </c>
      <c r="B35" s="1" t="s">
        <v>108</v>
      </c>
      <c r="C35" s="1" t="s">
        <v>98</v>
      </c>
      <c r="D35" s="1" t="s">
        <v>99</v>
      </c>
      <c r="E35" s="1" t="s">
        <v>285</v>
      </c>
      <c r="F35" s="2">
        <v>0</v>
      </c>
      <c r="G35" s="3">
        <v>46299.333333333343</v>
      </c>
      <c r="H35" s="3">
        <v>46303.666666666657</v>
      </c>
      <c r="I35" s="4">
        <v>5</v>
      </c>
      <c r="J35" s="1" t="s">
        <v>109</v>
      </c>
      <c r="K35" s="4">
        <v>48</v>
      </c>
      <c r="L35" s="3">
        <v>46299.333333333343</v>
      </c>
      <c r="M35" s="3">
        <v>46303.666666666657</v>
      </c>
      <c r="N35" s="3">
        <v>46306.333333333343</v>
      </c>
      <c r="O35" s="3">
        <v>46310.666666666657</v>
      </c>
    </row>
    <row r="36" spans="1:15" x14ac:dyDescent="0.3">
      <c r="A36" s="1" t="s">
        <v>110</v>
      </c>
      <c r="B36" s="1" t="s">
        <v>111</v>
      </c>
      <c r="C36" s="1" t="s">
        <v>98</v>
      </c>
      <c r="D36" s="1" t="s">
        <v>99</v>
      </c>
      <c r="E36" s="1" t="s">
        <v>20</v>
      </c>
      <c r="F36" s="2">
        <v>0</v>
      </c>
      <c r="G36" s="3">
        <v>46302.333333333343</v>
      </c>
      <c r="H36" s="3">
        <v>46307.666666666657</v>
      </c>
      <c r="I36" s="4">
        <v>5</v>
      </c>
      <c r="J36" s="1" t="s">
        <v>112</v>
      </c>
      <c r="K36" s="4">
        <v>24</v>
      </c>
      <c r="L36" s="3">
        <v>46302.333333333343</v>
      </c>
      <c r="M36" s="3">
        <v>46307.666666666657</v>
      </c>
      <c r="N36" s="3">
        <v>46306.333333333343</v>
      </c>
      <c r="O36" s="3">
        <v>46310.666666666657</v>
      </c>
    </row>
    <row r="37" spans="1:15" x14ac:dyDescent="0.3">
      <c r="A37" s="1" t="s">
        <v>113</v>
      </c>
      <c r="B37" s="1" t="s">
        <v>114</v>
      </c>
      <c r="C37" s="1" t="s">
        <v>98</v>
      </c>
      <c r="D37" s="1" t="s">
        <v>99</v>
      </c>
      <c r="E37" s="1" t="s">
        <v>20</v>
      </c>
      <c r="F37" s="2">
        <v>0</v>
      </c>
      <c r="G37" s="3">
        <v>46304.333333333343</v>
      </c>
      <c r="H37" s="3">
        <v>46309.666666666657</v>
      </c>
      <c r="I37" s="4">
        <v>5</v>
      </c>
      <c r="J37" s="1" t="s">
        <v>115</v>
      </c>
      <c r="K37" s="4">
        <v>8</v>
      </c>
      <c r="L37" s="3">
        <v>46304.333333333343</v>
      </c>
      <c r="M37" s="3">
        <v>46309.666666666657</v>
      </c>
      <c r="N37" s="3">
        <v>46306.333333333343</v>
      </c>
      <c r="O37" s="3">
        <v>46310.666666666657</v>
      </c>
    </row>
    <row r="38" spans="1:15" x14ac:dyDescent="0.3">
      <c r="A38" s="1" t="s">
        <v>116</v>
      </c>
      <c r="B38" s="1" t="s">
        <v>117</v>
      </c>
      <c r="C38" s="1" t="s">
        <v>98</v>
      </c>
      <c r="D38" s="1" t="s">
        <v>99</v>
      </c>
      <c r="E38" s="1" t="s">
        <v>20</v>
      </c>
      <c r="F38" s="2">
        <v>0</v>
      </c>
      <c r="G38" s="3">
        <v>46293.333333333343</v>
      </c>
      <c r="H38" s="3">
        <v>46297.666666666657</v>
      </c>
      <c r="I38" s="4">
        <v>5</v>
      </c>
      <c r="J38" s="1" t="s">
        <v>118</v>
      </c>
      <c r="K38" s="4">
        <v>96</v>
      </c>
      <c r="L38" s="3">
        <v>46293.333333333343</v>
      </c>
      <c r="M38" s="3">
        <v>46297.666666666657</v>
      </c>
      <c r="N38" s="3">
        <v>46307.333333333343</v>
      </c>
      <c r="O38" s="3">
        <v>46311.666666666657</v>
      </c>
    </row>
    <row r="39" spans="1:15" x14ac:dyDescent="0.3">
      <c r="A39" s="1" t="s">
        <v>119</v>
      </c>
      <c r="B39" s="1" t="s">
        <v>120</v>
      </c>
      <c r="C39" s="1" t="s">
        <v>98</v>
      </c>
      <c r="D39" s="1" t="s">
        <v>99</v>
      </c>
      <c r="E39" s="1" t="s">
        <v>20</v>
      </c>
      <c r="F39" s="2">
        <v>0</v>
      </c>
      <c r="G39" s="3">
        <v>46306.333333333343</v>
      </c>
      <c r="H39" s="3">
        <v>46322.666666666657</v>
      </c>
      <c r="I39" s="4">
        <v>15</v>
      </c>
      <c r="J39" s="1" t="s">
        <v>121</v>
      </c>
      <c r="K39" s="4">
        <v>8</v>
      </c>
      <c r="L39" s="3">
        <v>46306.333333333343</v>
      </c>
      <c r="M39" s="3">
        <v>46322.666666666657</v>
      </c>
      <c r="N39" s="3">
        <v>46307.333333333343</v>
      </c>
      <c r="O39" s="3">
        <v>46323.666666666657</v>
      </c>
    </row>
    <row r="40" spans="1:15" x14ac:dyDescent="0.3">
      <c r="A40" s="1" t="s">
        <v>122</v>
      </c>
      <c r="B40" s="1" t="s">
        <v>123</v>
      </c>
      <c r="C40" s="1" t="s">
        <v>98</v>
      </c>
      <c r="D40" s="1" t="s">
        <v>99</v>
      </c>
      <c r="E40" s="1" t="s">
        <v>20</v>
      </c>
      <c r="F40" s="2">
        <v>0</v>
      </c>
      <c r="G40" s="3">
        <v>46323.333333333343</v>
      </c>
      <c r="H40" s="3">
        <v>46325.666666666657</v>
      </c>
      <c r="I40" s="4">
        <v>3</v>
      </c>
      <c r="J40" s="1" t="s">
        <v>124</v>
      </c>
      <c r="K40" s="4">
        <v>120</v>
      </c>
      <c r="L40" s="3">
        <v>46323.333333333343</v>
      </c>
      <c r="M40" s="3">
        <v>46325.666666666657</v>
      </c>
      <c r="N40" s="3">
        <v>46352.333333333343</v>
      </c>
      <c r="O40" s="3">
        <v>46355.666666666657</v>
      </c>
    </row>
    <row r="41" spans="1:15" x14ac:dyDescent="0.3">
      <c r="A41" s="1" t="s">
        <v>125</v>
      </c>
      <c r="B41" s="1" t="s">
        <v>126</v>
      </c>
      <c r="C41" s="1" t="s">
        <v>127</v>
      </c>
      <c r="D41" s="1" t="s">
        <v>128</v>
      </c>
      <c r="E41" s="1" t="s">
        <v>287</v>
      </c>
      <c r="F41" s="2">
        <v>0</v>
      </c>
      <c r="G41" s="3">
        <v>46311.333333333343</v>
      </c>
      <c r="H41" s="3">
        <v>46316.666666666657</v>
      </c>
      <c r="I41" s="4">
        <v>5</v>
      </c>
      <c r="J41" s="1" t="s">
        <v>129</v>
      </c>
      <c r="K41" s="4">
        <v>48</v>
      </c>
      <c r="L41" s="3">
        <v>46311.333333333343</v>
      </c>
      <c r="M41" s="3">
        <v>46316.666666666657</v>
      </c>
      <c r="N41" s="3">
        <v>46318.333333333343</v>
      </c>
      <c r="O41" s="3">
        <v>46323.666666666657</v>
      </c>
    </row>
    <row r="42" spans="1:15" x14ac:dyDescent="0.3">
      <c r="A42" s="1" t="s">
        <v>130</v>
      </c>
      <c r="B42" s="1" t="s">
        <v>131</v>
      </c>
      <c r="C42" s="1" t="s">
        <v>127</v>
      </c>
      <c r="D42" s="1" t="s">
        <v>128</v>
      </c>
      <c r="E42" s="1" t="s">
        <v>20</v>
      </c>
      <c r="F42" s="2">
        <v>0</v>
      </c>
      <c r="G42" s="3">
        <v>46317.333333333343</v>
      </c>
      <c r="H42" s="3">
        <v>46317.666666666657</v>
      </c>
      <c r="I42" s="4">
        <v>1</v>
      </c>
      <c r="J42" s="1" t="s">
        <v>132</v>
      </c>
      <c r="K42" s="4">
        <v>48</v>
      </c>
      <c r="L42" s="3">
        <v>46317.333333333343</v>
      </c>
      <c r="M42" s="3">
        <v>46317.666666666657</v>
      </c>
      <c r="N42" s="3">
        <v>46324.333333333343</v>
      </c>
      <c r="O42" s="3">
        <v>46324.666666666657</v>
      </c>
    </row>
    <row r="43" spans="1:15" x14ac:dyDescent="0.3">
      <c r="A43" s="1" t="s">
        <v>133</v>
      </c>
      <c r="B43" s="1" t="s">
        <v>134</v>
      </c>
      <c r="C43" s="1" t="s">
        <v>127</v>
      </c>
      <c r="D43" s="1" t="s">
        <v>128</v>
      </c>
      <c r="E43" s="1" t="s">
        <v>20</v>
      </c>
      <c r="F43" s="2">
        <v>0</v>
      </c>
      <c r="G43" s="3">
        <v>46318.333333333343</v>
      </c>
      <c r="H43" s="3">
        <v>46323.666666666657</v>
      </c>
      <c r="I43" s="4">
        <v>5</v>
      </c>
      <c r="J43" s="1" t="s">
        <v>135</v>
      </c>
      <c r="K43" s="4">
        <v>48</v>
      </c>
      <c r="L43" s="3">
        <v>46318.333333333343</v>
      </c>
      <c r="M43" s="3">
        <v>46323.666666666657</v>
      </c>
      <c r="N43" s="3">
        <v>46325.333333333343</v>
      </c>
      <c r="O43" s="3">
        <v>46330.666666666657</v>
      </c>
    </row>
    <row r="44" spans="1:15" x14ac:dyDescent="0.3">
      <c r="A44" s="1" t="s">
        <v>136</v>
      </c>
      <c r="B44" s="1" t="s">
        <v>137</v>
      </c>
      <c r="C44" s="1" t="s">
        <v>127</v>
      </c>
      <c r="D44" s="1" t="s">
        <v>128</v>
      </c>
      <c r="E44" s="1" t="s">
        <v>20</v>
      </c>
      <c r="F44" s="2">
        <v>0</v>
      </c>
      <c r="G44" s="3">
        <v>46324.333333333343</v>
      </c>
      <c r="H44" s="3">
        <v>46329.666666666657</v>
      </c>
      <c r="I44" s="4">
        <v>5</v>
      </c>
      <c r="J44" s="1" t="s">
        <v>138</v>
      </c>
      <c r="K44" s="4">
        <v>304</v>
      </c>
      <c r="L44" s="3">
        <v>46324.333333333343</v>
      </c>
      <c r="M44" s="3">
        <v>46329.666666666657</v>
      </c>
      <c r="N44" s="3">
        <v>46380.333333333343</v>
      </c>
      <c r="O44" s="3">
        <v>46385.666666666657</v>
      </c>
    </row>
    <row r="45" spans="1:15" x14ac:dyDescent="0.3">
      <c r="A45" s="1" t="s">
        <v>139</v>
      </c>
      <c r="B45" s="1" t="s">
        <v>140</v>
      </c>
      <c r="C45" s="1" t="s">
        <v>127</v>
      </c>
      <c r="D45" s="1" t="s">
        <v>128</v>
      </c>
      <c r="E45" s="1" t="s">
        <v>20</v>
      </c>
      <c r="F45" s="2">
        <v>0</v>
      </c>
      <c r="G45" s="3">
        <v>46318.333333333343</v>
      </c>
      <c r="H45" s="3">
        <v>46323.666666666657</v>
      </c>
      <c r="I45" s="4">
        <v>5</v>
      </c>
      <c r="J45" s="1" t="s">
        <v>135</v>
      </c>
      <c r="K45" s="4">
        <v>344</v>
      </c>
      <c r="L45" s="3">
        <v>46318.333333333343</v>
      </c>
      <c r="M45" s="3">
        <v>46323.666666666657</v>
      </c>
      <c r="N45" s="3">
        <v>46380.333333333343</v>
      </c>
      <c r="O45" s="3">
        <v>46385.666666666657</v>
      </c>
    </row>
    <row r="46" spans="1:15" x14ac:dyDescent="0.3">
      <c r="A46" s="1" t="s">
        <v>141</v>
      </c>
      <c r="B46" s="1" t="s">
        <v>142</v>
      </c>
      <c r="C46" s="1" t="s">
        <v>127</v>
      </c>
      <c r="D46" s="1" t="s">
        <v>128</v>
      </c>
      <c r="E46" s="1" t="s">
        <v>20</v>
      </c>
      <c r="F46" s="2">
        <v>0</v>
      </c>
      <c r="G46" s="3">
        <v>46353.333333333343</v>
      </c>
      <c r="H46" s="3">
        <v>46358.666666666657</v>
      </c>
      <c r="I46" s="4">
        <v>5</v>
      </c>
      <c r="J46" s="1" t="s">
        <v>143</v>
      </c>
      <c r="K46" s="4">
        <v>184</v>
      </c>
      <c r="L46" s="3">
        <v>46353.333333333343</v>
      </c>
      <c r="M46" s="3">
        <v>46358.666666666657</v>
      </c>
      <c r="N46" s="3">
        <v>46380.333333333343</v>
      </c>
      <c r="O46" s="3">
        <v>46385.666666666657</v>
      </c>
    </row>
    <row r="47" spans="1:15" x14ac:dyDescent="0.3">
      <c r="A47" s="1" t="s">
        <v>144</v>
      </c>
      <c r="B47" s="1" t="s">
        <v>145</v>
      </c>
      <c r="C47" s="1" t="s">
        <v>127</v>
      </c>
      <c r="D47" s="1" t="s">
        <v>128</v>
      </c>
      <c r="E47" s="1" t="s">
        <v>20</v>
      </c>
      <c r="F47" s="2">
        <v>0</v>
      </c>
      <c r="G47" s="3">
        <v>46353.333333333343</v>
      </c>
      <c r="H47" s="3">
        <v>46358.666666666657</v>
      </c>
      <c r="I47" s="4">
        <v>5</v>
      </c>
      <c r="J47" s="1" t="s">
        <v>143</v>
      </c>
      <c r="K47" s="4">
        <v>184</v>
      </c>
      <c r="L47" s="3">
        <v>46353.333333333343</v>
      </c>
      <c r="M47" s="3">
        <v>46358.666666666657</v>
      </c>
      <c r="N47" s="3">
        <v>46380.333333333343</v>
      </c>
      <c r="O47" s="3">
        <v>46385.666666666657</v>
      </c>
    </row>
    <row r="48" spans="1:15" x14ac:dyDescent="0.3">
      <c r="A48" s="1" t="s">
        <v>146</v>
      </c>
      <c r="B48" s="1" t="s">
        <v>147</v>
      </c>
      <c r="C48" s="1" t="s">
        <v>127</v>
      </c>
      <c r="D48" s="1" t="s">
        <v>128</v>
      </c>
      <c r="E48" s="1" t="s">
        <v>20</v>
      </c>
      <c r="F48" s="2">
        <v>0</v>
      </c>
      <c r="G48" s="3">
        <v>46353.333333333343</v>
      </c>
      <c r="H48" s="3">
        <v>46358.666666666657</v>
      </c>
      <c r="I48" s="4">
        <v>5</v>
      </c>
      <c r="J48" s="1" t="s">
        <v>148</v>
      </c>
      <c r="K48" s="4">
        <v>48</v>
      </c>
      <c r="L48" s="3">
        <v>46353.333333333343</v>
      </c>
      <c r="M48" s="3">
        <v>46358.666666666657</v>
      </c>
      <c r="N48" s="3">
        <v>46360.333333333343</v>
      </c>
      <c r="O48" s="3">
        <v>46365.666666666657</v>
      </c>
    </row>
    <row r="49" spans="1:15" x14ac:dyDescent="0.3">
      <c r="A49" s="1" t="s">
        <v>149</v>
      </c>
      <c r="B49" s="1" t="s">
        <v>150</v>
      </c>
      <c r="C49" s="1" t="s">
        <v>151</v>
      </c>
      <c r="D49" s="1" t="s">
        <v>152</v>
      </c>
      <c r="E49" s="1" t="s">
        <v>20</v>
      </c>
      <c r="F49" s="2">
        <v>0</v>
      </c>
      <c r="G49" s="3">
        <v>46323.333333333343</v>
      </c>
      <c r="H49" s="3">
        <v>46328.666666666657</v>
      </c>
      <c r="I49" s="4">
        <v>5</v>
      </c>
      <c r="J49" s="1" t="s">
        <v>153</v>
      </c>
      <c r="K49" s="4">
        <v>232</v>
      </c>
      <c r="L49" s="3">
        <v>46323.333333333343</v>
      </c>
      <c r="M49" s="3">
        <v>46328.666666666657</v>
      </c>
      <c r="N49" s="3">
        <v>46369.333333333343</v>
      </c>
      <c r="O49" s="3">
        <v>46373.666666666657</v>
      </c>
    </row>
    <row r="50" spans="1:15" x14ac:dyDescent="0.3">
      <c r="A50" s="1" t="s">
        <v>154</v>
      </c>
      <c r="B50" s="1" t="s">
        <v>155</v>
      </c>
      <c r="C50" s="1" t="s">
        <v>151</v>
      </c>
      <c r="D50" s="1" t="s">
        <v>152</v>
      </c>
      <c r="E50" s="1" t="s">
        <v>20</v>
      </c>
      <c r="F50" s="2">
        <v>0</v>
      </c>
      <c r="G50" s="3">
        <v>46353.333333333343</v>
      </c>
      <c r="H50" s="3">
        <v>46358.666666666657</v>
      </c>
      <c r="I50" s="4">
        <v>5</v>
      </c>
      <c r="J50" s="1" t="s">
        <v>156</v>
      </c>
      <c r="K50" s="4">
        <v>48</v>
      </c>
      <c r="L50" s="3">
        <v>46353.333333333343</v>
      </c>
      <c r="M50" s="3">
        <v>46358.666666666657</v>
      </c>
      <c r="N50" s="3">
        <v>46360.333333333343</v>
      </c>
      <c r="O50" s="3">
        <v>46365.666666666657</v>
      </c>
    </row>
    <row r="51" spans="1:15" x14ac:dyDescent="0.3">
      <c r="A51" s="1" t="s">
        <v>157</v>
      </c>
      <c r="B51" s="1" t="s">
        <v>158</v>
      </c>
      <c r="C51" s="1" t="s">
        <v>151</v>
      </c>
      <c r="D51" s="1" t="s">
        <v>152</v>
      </c>
      <c r="E51" s="1" t="s">
        <v>20</v>
      </c>
      <c r="F51" s="2">
        <v>0</v>
      </c>
      <c r="G51" s="3">
        <v>46323.333333333343</v>
      </c>
      <c r="H51" s="3">
        <v>46328.666666666657</v>
      </c>
      <c r="I51" s="4">
        <v>5</v>
      </c>
      <c r="J51" s="1" t="s">
        <v>159</v>
      </c>
      <c r="K51" s="4">
        <v>312</v>
      </c>
      <c r="L51" s="3">
        <v>46323.333333333343</v>
      </c>
      <c r="M51" s="3">
        <v>46328.666666666657</v>
      </c>
      <c r="N51" s="3">
        <v>46380.333333333343</v>
      </c>
      <c r="O51" s="3">
        <v>46385.666666666657</v>
      </c>
    </row>
    <row r="52" spans="1:15" x14ac:dyDescent="0.3">
      <c r="A52" s="1" t="s">
        <v>160</v>
      </c>
      <c r="B52" s="1" t="s">
        <v>161</v>
      </c>
      <c r="C52" s="1" t="s">
        <v>151</v>
      </c>
      <c r="D52" s="1" t="s">
        <v>152</v>
      </c>
      <c r="E52" s="1" t="s">
        <v>20</v>
      </c>
      <c r="F52" s="2">
        <v>0</v>
      </c>
      <c r="G52" s="3">
        <v>46353.333333333343</v>
      </c>
      <c r="H52" s="3">
        <v>46358.666666666657</v>
      </c>
      <c r="I52" s="4">
        <v>5</v>
      </c>
      <c r="J52" s="1" t="s">
        <v>162</v>
      </c>
      <c r="K52" s="4">
        <v>48</v>
      </c>
      <c r="L52" s="3">
        <v>46353.333333333343</v>
      </c>
      <c r="M52" s="3">
        <v>46358.666666666657</v>
      </c>
      <c r="N52" s="3">
        <v>46360.333333333343</v>
      </c>
      <c r="O52" s="3">
        <v>46365.666666666657</v>
      </c>
    </row>
    <row r="53" spans="1:15" x14ac:dyDescent="0.3">
      <c r="A53" s="1" t="s">
        <v>163</v>
      </c>
      <c r="B53" s="1" t="s">
        <v>164</v>
      </c>
      <c r="C53" s="1" t="s">
        <v>165</v>
      </c>
      <c r="D53" s="1" t="s">
        <v>166</v>
      </c>
      <c r="E53" s="1" t="s">
        <v>20</v>
      </c>
      <c r="F53" s="2">
        <v>0</v>
      </c>
      <c r="G53" s="3">
        <v>46323.333333333343</v>
      </c>
      <c r="H53" s="3">
        <v>46328.666666666657</v>
      </c>
      <c r="I53" s="4">
        <v>5</v>
      </c>
      <c r="J53" s="1" t="s">
        <v>167</v>
      </c>
      <c r="K53" s="4">
        <v>96</v>
      </c>
      <c r="L53" s="3">
        <v>46323.333333333343</v>
      </c>
      <c r="M53" s="3">
        <v>46328.666666666657</v>
      </c>
      <c r="N53" s="3">
        <v>46349.333333333343</v>
      </c>
      <c r="O53" s="3">
        <v>46353.666666666657</v>
      </c>
    </row>
    <row r="54" spans="1:15" x14ac:dyDescent="0.3">
      <c r="A54" s="1" t="s">
        <v>168</v>
      </c>
      <c r="B54" s="1" t="s">
        <v>169</v>
      </c>
      <c r="C54" s="1" t="s">
        <v>165</v>
      </c>
      <c r="D54" s="1" t="s">
        <v>166</v>
      </c>
      <c r="E54" s="1" t="s">
        <v>20</v>
      </c>
      <c r="F54" s="2">
        <v>0</v>
      </c>
      <c r="G54" s="3">
        <v>46323.333333333343</v>
      </c>
      <c r="H54" s="3">
        <v>46328.666666666657</v>
      </c>
      <c r="I54" s="4">
        <v>5</v>
      </c>
      <c r="J54" s="1" t="s">
        <v>170</v>
      </c>
      <c r="K54" s="4">
        <v>96</v>
      </c>
      <c r="L54" s="3">
        <v>46323.333333333343</v>
      </c>
      <c r="M54" s="3">
        <v>46328.666666666657</v>
      </c>
      <c r="N54" s="3">
        <v>46349.333333333343</v>
      </c>
      <c r="O54" s="3">
        <v>46353.666666666657</v>
      </c>
    </row>
    <row r="55" spans="1:15" x14ac:dyDescent="0.3">
      <c r="A55" s="1" t="s">
        <v>171</v>
      </c>
      <c r="B55" s="1" t="s">
        <v>172</v>
      </c>
      <c r="C55" s="1" t="s">
        <v>165</v>
      </c>
      <c r="D55" s="1" t="s">
        <v>166</v>
      </c>
      <c r="E55" s="1" t="s">
        <v>20</v>
      </c>
      <c r="F55" s="2">
        <v>0</v>
      </c>
      <c r="G55" s="3">
        <v>46323.333333333343</v>
      </c>
      <c r="H55" s="3">
        <v>46328.666666666657</v>
      </c>
      <c r="I55" s="4">
        <v>5</v>
      </c>
      <c r="J55" s="1" t="s">
        <v>173</v>
      </c>
      <c r="K55" s="4">
        <v>96</v>
      </c>
      <c r="L55" s="3">
        <v>46323.333333333343</v>
      </c>
      <c r="M55" s="3">
        <v>46328.666666666657</v>
      </c>
      <c r="N55" s="3">
        <v>46349.333333333343</v>
      </c>
      <c r="O55" s="3">
        <v>46353.666666666657</v>
      </c>
    </row>
    <row r="56" spans="1:15" x14ac:dyDescent="0.3">
      <c r="A56" s="1" t="s">
        <v>174</v>
      </c>
      <c r="B56" s="1" t="s">
        <v>175</v>
      </c>
      <c r="C56" s="1" t="s">
        <v>165</v>
      </c>
      <c r="D56" s="1" t="s">
        <v>166</v>
      </c>
      <c r="E56" s="1" t="s">
        <v>20</v>
      </c>
      <c r="F56" s="2">
        <v>0</v>
      </c>
      <c r="G56" s="3">
        <v>46292.333333333343</v>
      </c>
      <c r="H56" s="3">
        <v>46296.666666666657</v>
      </c>
      <c r="I56" s="4">
        <v>5</v>
      </c>
      <c r="J56" s="1"/>
      <c r="K56" s="4">
        <v>528</v>
      </c>
      <c r="L56" s="3">
        <v>46292.333333333343</v>
      </c>
      <c r="M56" s="3">
        <v>46296.666666666657</v>
      </c>
      <c r="N56" s="3">
        <v>46380.333333333343</v>
      </c>
      <c r="O56" s="3">
        <v>46385.666666666657</v>
      </c>
    </row>
    <row r="57" spans="1:15" x14ac:dyDescent="0.3">
      <c r="A57" s="1" t="s">
        <v>176</v>
      </c>
      <c r="B57" s="1" t="s">
        <v>177</v>
      </c>
      <c r="C57" s="1" t="s">
        <v>178</v>
      </c>
      <c r="D57" s="1" t="s">
        <v>179</v>
      </c>
      <c r="E57" s="1" t="s">
        <v>20</v>
      </c>
      <c r="F57" s="2">
        <v>0</v>
      </c>
      <c r="G57" s="3">
        <v>46311.333333333343</v>
      </c>
      <c r="H57" s="3">
        <v>46313.666666666657</v>
      </c>
      <c r="I57" s="4">
        <v>2</v>
      </c>
      <c r="J57" s="1" t="s">
        <v>129</v>
      </c>
      <c r="K57" s="4">
        <v>416</v>
      </c>
      <c r="L57" s="3">
        <v>46311.333333333343</v>
      </c>
      <c r="M57" s="3">
        <v>46313.666666666657</v>
      </c>
      <c r="N57" s="3">
        <v>46384.333333333343</v>
      </c>
      <c r="O57" s="3">
        <v>46385.666666666657</v>
      </c>
    </row>
    <row r="58" spans="1:15" x14ac:dyDescent="0.3">
      <c r="A58" s="1" t="s">
        <v>180</v>
      </c>
      <c r="B58" s="1" t="s">
        <v>181</v>
      </c>
      <c r="C58" s="1" t="s">
        <v>178</v>
      </c>
      <c r="D58" s="1" t="s">
        <v>179</v>
      </c>
      <c r="E58" s="1" t="s">
        <v>20</v>
      </c>
      <c r="F58" s="2">
        <v>0</v>
      </c>
      <c r="G58" s="3">
        <v>46311.333333333343</v>
      </c>
      <c r="H58" s="3">
        <v>46313.666666666657</v>
      </c>
      <c r="I58" s="4">
        <v>2</v>
      </c>
      <c r="J58" s="1" t="s">
        <v>129</v>
      </c>
      <c r="K58" s="4">
        <v>240</v>
      </c>
      <c r="L58" s="3">
        <v>46311.333333333343</v>
      </c>
      <c r="M58" s="3">
        <v>46313.666666666657</v>
      </c>
      <c r="N58" s="3">
        <v>46358.333333333343</v>
      </c>
      <c r="O58" s="3">
        <v>46359.666666666657</v>
      </c>
    </row>
    <row r="59" spans="1:15" x14ac:dyDescent="0.3">
      <c r="A59" s="1" t="s">
        <v>182</v>
      </c>
      <c r="B59" s="1" t="s">
        <v>183</v>
      </c>
      <c r="C59" s="1" t="s">
        <v>178</v>
      </c>
      <c r="D59" s="1" t="s">
        <v>179</v>
      </c>
      <c r="E59" s="1" t="s">
        <v>20</v>
      </c>
      <c r="F59" s="2">
        <v>0</v>
      </c>
      <c r="G59" s="3">
        <v>46350.333333333343</v>
      </c>
      <c r="H59" s="3">
        <v>46351.666666666657</v>
      </c>
      <c r="I59" s="4">
        <v>2</v>
      </c>
      <c r="J59" s="1" t="s">
        <v>184</v>
      </c>
      <c r="K59" s="4">
        <v>232</v>
      </c>
      <c r="L59" s="3">
        <v>46350.333333333343</v>
      </c>
      <c r="M59" s="3">
        <v>46351.666666666657</v>
      </c>
      <c r="N59" s="3">
        <v>46384.333333333343</v>
      </c>
      <c r="O59" s="3">
        <v>46385.666666666657</v>
      </c>
    </row>
    <row r="60" spans="1:15" x14ac:dyDescent="0.3">
      <c r="A60" s="1" t="s">
        <v>185</v>
      </c>
      <c r="B60" s="1" t="s">
        <v>186</v>
      </c>
      <c r="C60" s="1" t="s">
        <v>178</v>
      </c>
      <c r="D60" s="1" t="s">
        <v>179</v>
      </c>
      <c r="E60" s="1" t="s">
        <v>20</v>
      </c>
      <c r="F60" s="2">
        <v>0</v>
      </c>
      <c r="G60" s="3">
        <v>46363.333333333343</v>
      </c>
      <c r="H60" s="3">
        <v>46364.666666666657</v>
      </c>
      <c r="I60" s="4">
        <v>2</v>
      </c>
      <c r="J60" s="1" t="s">
        <v>187</v>
      </c>
      <c r="K60" s="4">
        <v>48</v>
      </c>
      <c r="L60" s="3">
        <v>46363.333333333343</v>
      </c>
      <c r="M60" s="3">
        <v>46364.666666666657</v>
      </c>
      <c r="N60" s="3">
        <v>46370.333333333343</v>
      </c>
      <c r="O60" s="3">
        <v>46371.666666666657</v>
      </c>
    </row>
    <row r="61" spans="1:15" x14ac:dyDescent="0.3">
      <c r="A61" s="1" t="s">
        <v>188</v>
      </c>
      <c r="B61" s="1" t="s">
        <v>189</v>
      </c>
      <c r="C61" s="1" t="s">
        <v>178</v>
      </c>
      <c r="D61" s="1" t="s">
        <v>179</v>
      </c>
      <c r="E61" s="1" t="s">
        <v>20</v>
      </c>
      <c r="F61" s="2">
        <v>0</v>
      </c>
      <c r="G61" s="3">
        <v>46302.333333333343</v>
      </c>
      <c r="H61" s="3">
        <v>46303.666666666657</v>
      </c>
      <c r="I61" s="4">
        <v>2</v>
      </c>
      <c r="J61" s="1" t="s">
        <v>190</v>
      </c>
      <c r="K61" s="4">
        <v>480</v>
      </c>
      <c r="L61" s="3">
        <v>46302.333333333343</v>
      </c>
      <c r="M61" s="3">
        <v>46303.666666666657</v>
      </c>
      <c r="N61" s="3">
        <v>46384.333333333343</v>
      </c>
      <c r="O61" s="3">
        <v>46385.666666666657</v>
      </c>
    </row>
    <row r="62" spans="1:15" x14ac:dyDescent="0.3">
      <c r="A62" s="1" t="s">
        <v>191</v>
      </c>
      <c r="B62" s="1" t="s">
        <v>192</v>
      </c>
      <c r="C62" s="1" t="s">
        <v>178</v>
      </c>
      <c r="D62" s="1" t="s">
        <v>179</v>
      </c>
      <c r="E62" s="1" t="s">
        <v>20</v>
      </c>
      <c r="F62" s="2">
        <v>0</v>
      </c>
      <c r="G62" s="3">
        <v>46309.333333333343</v>
      </c>
      <c r="H62" s="3">
        <v>46310.666666666657</v>
      </c>
      <c r="I62" s="4">
        <v>2</v>
      </c>
      <c r="J62" s="1" t="s">
        <v>193</v>
      </c>
      <c r="K62" s="4">
        <v>184</v>
      </c>
      <c r="L62" s="3">
        <v>46309.333333333343</v>
      </c>
      <c r="M62" s="3">
        <v>46310.666666666657</v>
      </c>
      <c r="N62" s="3">
        <v>46348.333333333343</v>
      </c>
      <c r="O62" s="3">
        <v>46349.666666666657</v>
      </c>
    </row>
    <row r="63" spans="1:15" x14ac:dyDescent="0.3">
      <c r="A63" s="1" t="s">
        <v>194</v>
      </c>
      <c r="B63" s="1" t="s">
        <v>195</v>
      </c>
      <c r="C63" s="1" t="s">
        <v>178</v>
      </c>
      <c r="D63" s="1" t="s">
        <v>179</v>
      </c>
      <c r="E63" s="1" t="s">
        <v>20</v>
      </c>
      <c r="F63" s="2">
        <v>0</v>
      </c>
      <c r="G63" s="3">
        <v>46332.333333333343</v>
      </c>
      <c r="H63" s="3">
        <v>46334.666666666657</v>
      </c>
      <c r="I63" s="4">
        <v>2</v>
      </c>
      <c r="J63" s="1" t="s">
        <v>196</v>
      </c>
      <c r="K63" s="4">
        <v>96</v>
      </c>
      <c r="L63" s="3">
        <v>46332.333333333343</v>
      </c>
      <c r="M63" s="3">
        <v>46334.666666666657</v>
      </c>
      <c r="N63" s="3">
        <v>46358.333333333343</v>
      </c>
      <c r="O63" s="3">
        <v>46359.666666666657</v>
      </c>
    </row>
    <row r="64" spans="1:15" x14ac:dyDescent="0.3">
      <c r="A64" s="1" t="s">
        <v>197</v>
      </c>
      <c r="B64" s="1" t="s">
        <v>198</v>
      </c>
      <c r="C64" s="1" t="s">
        <v>178</v>
      </c>
      <c r="D64" s="1" t="s">
        <v>179</v>
      </c>
      <c r="E64" s="1" t="s">
        <v>20</v>
      </c>
      <c r="F64" s="2">
        <v>0</v>
      </c>
      <c r="G64" s="3">
        <v>46310.333333333343</v>
      </c>
      <c r="H64" s="3">
        <v>46313.666666666657</v>
      </c>
      <c r="I64" s="4">
        <v>3</v>
      </c>
      <c r="J64" s="1" t="s">
        <v>199</v>
      </c>
      <c r="K64" s="4">
        <v>112</v>
      </c>
      <c r="L64" s="3">
        <v>46310.333333333343</v>
      </c>
      <c r="M64" s="3">
        <v>46313.666666666657</v>
      </c>
      <c r="N64" s="3">
        <v>46327.333333333343</v>
      </c>
      <c r="O64" s="3">
        <v>46329.666666666657</v>
      </c>
    </row>
    <row r="65" spans="1:15" x14ac:dyDescent="0.3">
      <c r="A65" s="1" t="s">
        <v>200</v>
      </c>
      <c r="B65" s="1" t="s">
        <v>201</v>
      </c>
      <c r="C65" s="1" t="s">
        <v>202</v>
      </c>
      <c r="D65" s="1" t="s">
        <v>203</v>
      </c>
      <c r="E65" s="1" t="s">
        <v>20</v>
      </c>
      <c r="F65" s="2">
        <v>0</v>
      </c>
      <c r="G65" s="3">
        <v>46328.333333333343</v>
      </c>
      <c r="H65" s="3">
        <v>46329.666666666657</v>
      </c>
      <c r="I65" s="4">
        <v>2</v>
      </c>
      <c r="J65" s="1" t="s">
        <v>204</v>
      </c>
      <c r="K65" s="4">
        <v>152</v>
      </c>
      <c r="L65" s="3">
        <v>46328.333333333343</v>
      </c>
      <c r="M65" s="3">
        <v>46329.666666666657</v>
      </c>
      <c r="N65" s="3">
        <v>46362.333333333343</v>
      </c>
      <c r="O65" s="3">
        <v>46363.666666666657</v>
      </c>
    </row>
    <row r="66" spans="1:15" x14ac:dyDescent="0.3">
      <c r="A66" s="1" t="s">
        <v>205</v>
      </c>
      <c r="B66" s="1" t="s">
        <v>206</v>
      </c>
      <c r="C66" s="1" t="s">
        <v>202</v>
      </c>
      <c r="D66" s="1" t="s">
        <v>203</v>
      </c>
      <c r="E66" s="1" t="s">
        <v>20</v>
      </c>
      <c r="F66" s="2">
        <v>0</v>
      </c>
      <c r="G66" s="3">
        <v>46328.333333333343</v>
      </c>
      <c r="H66" s="3">
        <v>46329.666666666657</v>
      </c>
      <c r="I66" s="4">
        <v>2</v>
      </c>
      <c r="J66" s="1" t="s">
        <v>204</v>
      </c>
      <c r="K66" s="4">
        <v>152</v>
      </c>
      <c r="L66" s="3">
        <v>46328.333333333343</v>
      </c>
      <c r="M66" s="3">
        <v>46329.666666666657</v>
      </c>
      <c r="N66" s="3">
        <v>46362.333333333343</v>
      </c>
      <c r="O66" s="3">
        <v>46363.666666666657</v>
      </c>
    </row>
    <row r="67" spans="1:15" x14ac:dyDescent="0.3">
      <c r="A67" s="1" t="s">
        <v>207</v>
      </c>
      <c r="B67" s="1" t="s">
        <v>208</v>
      </c>
      <c r="C67" s="1" t="s">
        <v>202</v>
      </c>
      <c r="D67" s="1" t="s">
        <v>203</v>
      </c>
      <c r="E67" s="1" t="s">
        <v>20</v>
      </c>
      <c r="F67" s="2">
        <v>0</v>
      </c>
      <c r="G67" s="3">
        <v>46315.333333333343</v>
      </c>
      <c r="H67" s="3">
        <v>46316.666666666657</v>
      </c>
      <c r="I67" s="4">
        <v>2</v>
      </c>
      <c r="J67" s="1" t="s">
        <v>209</v>
      </c>
      <c r="K67" s="4">
        <v>144</v>
      </c>
      <c r="L67" s="3">
        <v>46315.333333333343</v>
      </c>
      <c r="M67" s="3">
        <v>46316.666666666657</v>
      </c>
      <c r="N67" s="3">
        <v>46348.333333333343</v>
      </c>
      <c r="O67" s="3">
        <v>46349.666666666657</v>
      </c>
    </row>
    <row r="68" spans="1:15" x14ac:dyDescent="0.3">
      <c r="A68" s="1" t="s">
        <v>210</v>
      </c>
      <c r="B68" s="1" t="s">
        <v>211</v>
      </c>
      <c r="C68" s="1" t="s">
        <v>202</v>
      </c>
      <c r="D68" s="1" t="s">
        <v>203</v>
      </c>
      <c r="E68" s="1" t="s">
        <v>20</v>
      </c>
      <c r="F68" s="2">
        <v>0</v>
      </c>
      <c r="G68" s="3">
        <v>46320.333333333343</v>
      </c>
      <c r="H68" s="3">
        <v>46321.666666666657</v>
      </c>
      <c r="I68" s="4">
        <v>2</v>
      </c>
      <c r="J68" s="1" t="s">
        <v>212</v>
      </c>
      <c r="K68" s="4">
        <v>112</v>
      </c>
      <c r="L68" s="3">
        <v>46320.333333333343</v>
      </c>
      <c r="M68" s="3">
        <v>46321.666666666657</v>
      </c>
      <c r="N68" s="3">
        <v>46348.333333333343</v>
      </c>
      <c r="O68" s="3">
        <v>46349.666666666657</v>
      </c>
    </row>
    <row r="69" spans="1:15" x14ac:dyDescent="0.3">
      <c r="A69" s="1" t="s">
        <v>213</v>
      </c>
      <c r="B69" s="1" t="s">
        <v>74</v>
      </c>
      <c r="C69" s="1" t="s">
        <v>202</v>
      </c>
      <c r="D69" s="1" t="s">
        <v>203</v>
      </c>
      <c r="E69" s="1" t="s">
        <v>20</v>
      </c>
      <c r="F69" s="2">
        <v>0</v>
      </c>
      <c r="G69" s="3">
        <v>46331.333333333343</v>
      </c>
      <c r="H69" s="3">
        <v>46332.666666666657</v>
      </c>
      <c r="I69" s="4">
        <v>2</v>
      </c>
      <c r="J69" s="1" t="s">
        <v>214</v>
      </c>
      <c r="K69" s="4">
        <v>32</v>
      </c>
      <c r="L69" s="3">
        <v>46331.333333333343</v>
      </c>
      <c r="M69" s="3">
        <v>46332.666666666657</v>
      </c>
      <c r="N69" s="3">
        <v>46348.333333333343</v>
      </c>
      <c r="O69" s="3">
        <v>46349.666666666657</v>
      </c>
    </row>
    <row r="70" spans="1:15" x14ac:dyDescent="0.3">
      <c r="A70" s="1" t="s">
        <v>215</v>
      </c>
      <c r="B70" s="1" t="s">
        <v>216</v>
      </c>
      <c r="C70" s="1" t="s">
        <v>202</v>
      </c>
      <c r="D70" s="1" t="s">
        <v>203</v>
      </c>
      <c r="E70" s="1" t="s">
        <v>20</v>
      </c>
      <c r="F70" s="2">
        <v>0</v>
      </c>
      <c r="G70" s="3">
        <v>46320.333333333343</v>
      </c>
      <c r="H70" s="3">
        <v>46321.666666666657</v>
      </c>
      <c r="I70" s="4">
        <v>2</v>
      </c>
      <c r="J70" s="1" t="s">
        <v>217</v>
      </c>
      <c r="K70" s="4">
        <v>112</v>
      </c>
      <c r="L70" s="3">
        <v>46320.333333333343</v>
      </c>
      <c r="M70" s="3">
        <v>46321.666666666657</v>
      </c>
      <c r="N70" s="3">
        <v>46348.333333333343</v>
      </c>
      <c r="O70" s="3">
        <v>46349.666666666657</v>
      </c>
    </row>
    <row r="71" spans="1:15" x14ac:dyDescent="0.3">
      <c r="A71" s="1" t="s">
        <v>218</v>
      </c>
      <c r="B71" s="1" t="s">
        <v>219</v>
      </c>
      <c r="C71" s="1" t="s">
        <v>220</v>
      </c>
      <c r="D71" s="1" t="s">
        <v>221</v>
      </c>
      <c r="E71" s="1" t="s">
        <v>20</v>
      </c>
      <c r="F71" s="2">
        <v>0</v>
      </c>
      <c r="G71" s="3">
        <v>46349.333333333343</v>
      </c>
      <c r="H71" s="3">
        <v>46371.666666666657</v>
      </c>
      <c r="I71" s="4">
        <v>20</v>
      </c>
      <c r="J71" s="1" t="s">
        <v>222</v>
      </c>
      <c r="K71" s="4">
        <v>8</v>
      </c>
      <c r="L71" s="3">
        <v>46349.333333333343</v>
      </c>
      <c r="M71" s="3">
        <v>46371.666666666657</v>
      </c>
      <c r="N71" s="3">
        <v>46350.333333333343</v>
      </c>
      <c r="O71" s="3">
        <v>46372.666666666657</v>
      </c>
    </row>
    <row r="72" spans="1:15" x14ac:dyDescent="0.3">
      <c r="A72" s="1" t="s">
        <v>223</v>
      </c>
      <c r="B72" s="1" t="s">
        <v>224</v>
      </c>
      <c r="C72" s="1" t="s">
        <v>220</v>
      </c>
      <c r="D72" s="1" t="s">
        <v>221</v>
      </c>
      <c r="E72" s="1" t="s">
        <v>20</v>
      </c>
      <c r="F72" s="2">
        <v>0</v>
      </c>
      <c r="G72" s="3">
        <v>46363.333333333343</v>
      </c>
      <c r="H72" s="3">
        <v>46373.666666666657</v>
      </c>
      <c r="I72" s="4">
        <v>10</v>
      </c>
      <c r="J72" s="1" t="s">
        <v>225</v>
      </c>
      <c r="K72" s="4">
        <v>8</v>
      </c>
      <c r="L72" s="3">
        <v>46363.333333333343</v>
      </c>
      <c r="M72" s="3">
        <v>46373.666666666657</v>
      </c>
      <c r="N72" s="3">
        <v>46364.333333333343</v>
      </c>
      <c r="O72" s="3">
        <v>46374.666666666657</v>
      </c>
    </row>
    <row r="73" spans="1:15" x14ac:dyDescent="0.3">
      <c r="A73" s="1" t="s">
        <v>226</v>
      </c>
      <c r="B73" s="1" t="s">
        <v>227</v>
      </c>
      <c r="C73" s="1" t="s">
        <v>228</v>
      </c>
      <c r="D73" s="1" t="s">
        <v>229</v>
      </c>
      <c r="E73" s="1" t="s">
        <v>20</v>
      </c>
      <c r="F73" s="2">
        <v>0</v>
      </c>
      <c r="G73" s="3">
        <v>46314.333333333343</v>
      </c>
      <c r="H73" s="3">
        <v>46316.666666666657</v>
      </c>
      <c r="I73" s="4">
        <v>3</v>
      </c>
      <c r="J73" s="1" t="s">
        <v>230</v>
      </c>
      <c r="K73" s="4">
        <v>240</v>
      </c>
      <c r="L73" s="3">
        <v>46314.333333333343</v>
      </c>
      <c r="M73" s="3">
        <v>46316.666666666657</v>
      </c>
      <c r="N73" s="3">
        <v>46360.333333333343</v>
      </c>
      <c r="O73" s="3">
        <v>46363.666666666657</v>
      </c>
    </row>
    <row r="74" spans="1:15" x14ac:dyDescent="0.3">
      <c r="A74" s="1" t="s">
        <v>231</v>
      </c>
      <c r="B74" s="1" t="s">
        <v>232</v>
      </c>
      <c r="C74" s="1" t="s">
        <v>228</v>
      </c>
      <c r="D74" s="1" t="s">
        <v>229</v>
      </c>
      <c r="E74" s="1" t="s">
        <v>20</v>
      </c>
      <c r="F74" s="2">
        <v>0</v>
      </c>
      <c r="G74" s="3">
        <v>46341.333333333343</v>
      </c>
      <c r="H74" s="3">
        <v>46349.666666666657</v>
      </c>
      <c r="I74" s="4">
        <v>3</v>
      </c>
      <c r="J74" s="1" t="s">
        <v>233</v>
      </c>
      <c r="K74" s="4">
        <v>96</v>
      </c>
      <c r="L74" s="3">
        <v>46341.333333333343</v>
      </c>
      <c r="M74" s="3">
        <v>46349.666666666657</v>
      </c>
      <c r="N74" s="3">
        <v>46360.333333333343</v>
      </c>
      <c r="O74" s="3">
        <v>46363.666666666657</v>
      </c>
    </row>
    <row r="75" spans="1:15" x14ac:dyDescent="0.3">
      <c r="A75" s="1" t="s">
        <v>234</v>
      </c>
      <c r="B75" s="1" t="s">
        <v>235</v>
      </c>
      <c r="C75" s="1" t="s">
        <v>228</v>
      </c>
      <c r="D75" s="1" t="s">
        <v>229</v>
      </c>
      <c r="E75" s="1" t="s">
        <v>20</v>
      </c>
      <c r="F75" s="2">
        <v>0</v>
      </c>
      <c r="G75" s="3">
        <v>46314.333333333343</v>
      </c>
      <c r="H75" s="3">
        <v>46316.666666666657</v>
      </c>
      <c r="I75" s="4">
        <v>3</v>
      </c>
      <c r="J75" s="1" t="s">
        <v>230</v>
      </c>
      <c r="K75" s="4">
        <v>240</v>
      </c>
      <c r="L75" s="3">
        <v>46314.333333333343</v>
      </c>
      <c r="M75" s="3">
        <v>46316.666666666657</v>
      </c>
      <c r="N75" s="3">
        <v>46360.333333333343</v>
      </c>
      <c r="O75" s="3">
        <v>46363.666666666657</v>
      </c>
    </row>
    <row r="76" spans="1:15" x14ac:dyDescent="0.3">
      <c r="A76" s="1" t="s">
        <v>236</v>
      </c>
      <c r="B76" s="1" t="s">
        <v>237</v>
      </c>
      <c r="C76" s="1" t="s">
        <v>228</v>
      </c>
      <c r="D76" s="1" t="s">
        <v>229</v>
      </c>
      <c r="E76" s="1" t="s">
        <v>20</v>
      </c>
      <c r="F76" s="2">
        <v>0</v>
      </c>
      <c r="G76" s="3">
        <v>46341.333333333343</v>
      </c>
      <c r="H76" s="3">
        <v>46349.666666666657</v>
      </c>
      <c r="I76" s="4">
        <v>3</v>
      </c>
      <c r="J76" s="1" t="s">
        <v>233</v>
      </c>
      <c r="K76" s="4">
        <v>96</v>
      </c>
      <c r="L76" s="3">
        <v>46341.333333333343</v>
      </c>
      <c r="M76" s="3">
        <v>46349.666666666657</v>
      </c>
      <c r="N76" s="3">
        <v>46360.333333333343</v>
      </c>
      <c r="O76" s="3">
        <v>46363.666666666657</v>
      </c>
    </row>
    <row r="77" spans="1:15" x14ac:dyDescent="0.3">
      <c r="A77" s="1" t="s">
        <v>238</v>
      </c>
      <c r="B77" s="1" t="s">
        <v>239</v>
      </c>
      <c r="C77" s="1" t="s">
        <v>228</v>
      </c>
      <c r="D77" s="1" t="s">
        <v>229</v>
      </c>
      <c r="E77" s="1" t="s">
        <v>20</v>
      </c>
      <c r="F77" s="2">
        <v>0</v>
      </c>
      <c r="G77" s="3">
        <v>46365.333333333343</v>
      </c>
      <c r="H77" s="3">
        <v>46367.666666666657</v>
      </c>
      <c r="I77" s="4">
        <v>3</v>
      </c>
      <c r="J77" s="1" t="s">
        <v>32</v>
      </c>
      <c r="K77" s="4">
        <v>48</v>
      </c>
      <c r="L77" s="3">
        <v>46365.333333333343</v>
      </c>
      <c r="M77" s="3">
        <v>46367.666666666657</v>
      </c>
      <c r="N77" s="3">
        <v>46372.333333333343</v>
      </c>
      <c r="O77" s="3">
        <v>46374.666666666657</v>
      </c>
    </row>
    <row r="78" spans="1:15" x14ac:dyDescent="0.3">
      <c r="A78" s="1" t="s">
        <v>240</v>
      </c>
      <c r="B78" s="1" t="s">
        <v>241</v>
      </c>
      <c r="C78" s="1" t="s">
        <v>242</v>
      </c>
      <c r="D78" s="1" t="s">
        <v>243</v>
      </c>
      <c r="E78" s="1" t="s">
        <v>20</v>
      </c>
      <c r="F78" s="2">
        <v>0</v>
      </c>
      <c r="G78" s="3">
        <v>46317.333333333343</v>
      </c>
      <c r="H78" s="3">
        <v>46322.666666666657</v>
      </c>
      <c r="I78" s="4">
        <v>5</v>
      </c>
      <c r="J78" s="1" t="s">
        <v>244</v>
      </c>
      <c r="K78" s="4">
        <v>240</v>
      </c>
      <c r="L78" s="3">
        <v>46317.333333333343</v>
      </c>
      <c r="M78" s="3">
        <v>46322.666666666657</v>
      </c>
      <c r="N78" s="3">
        <v>46364.333333333343</v>
      </c>
      <c r="O78" s="3">
        <v>46369.666666666657</v>
      </c>
    </row>
    <row r="79" spans="1:15" x14ac:dyDescent="0.3">
      <c r="A79" s="1" t="s">
        <v>245</v>
      </c>
      <c r="B79" s="1" t="s">
        <v>246</v>
      </c>
      <c r="C79" s="1" t="s">
        <v>242</v>
      </c>
      <c r="D79" s="1" t="s">
        <v>243</v>
      </c>
      <c r="E79" s="1" t="s">
        <v>20</v>
      </c>
      <c r="F79" s="2">
        <v>0</v>
      </c>
      <c r="G79" s="3">
        <v>46317.333333333343</v>
      </c>
      <c r="H79" s="3">
        <v>46322.666666666657</v>
      </c>
      <c r="I79" s="4">
        <v>5</v>
      </c>
      <c r="J79" s="1" t="s">
        <v>244</v>
      </c>
      <c r="K79" s="4">
        <v>240</v>
      </c>
      <c r="L79" s="3">
        <v>46317.333333333343</v>
      </c>
      <c r="M79" s="3">
        <v>46322.666666666657</v>
      </c>
      <c r="N79" s="3">
        <v>46364.333333333343</v>
      </c>
      <c r="O79" s="3">
        <v>46369.666666666657</v>
      </c>
    </row>
    <row r="80" spans="1:15" x14ac:dyDescent="0.3">
      <c r="A80" s="1" t="s">
        <v>247</v>
      </c>
      <c r="B80" s="1" t="s">
        <v>248</v>
      </c>
      <c r="C80" s="1" t="s">
        <v>242</v>
      </c>
      <c r="D80" s="1" t="s">
        <v>243</v>
      </c>
      <c r="E80" s="1" t="s">
        <v>20</v>
      </c>
      <c r="F80" s="2">
        <v>0</v>
      </c>
      <c r="G80" s="3">
        <v>46350.333333333343</v>
      </c>
      <c r="H80" s="3">
        <v>46355.666666666657</v>
      </c>
      <c r="I80" s="4">
        <v>5</v>
      </c>
      <c r="J80" s="1" t="s">
        <v>249</v>
      </c>
      <c r="K80" s="4">
        <v>96</v>
      </c>
      <c r="L80" s="3">
        <v>46350.333333333343</v>
      </c>
      <c r="M80" s="3">
        <v>46355.666666666657</v>
      </c>
      <c r="N80" s="3">
        <v>46364.333333333343</v>
      </c>
      <c r="O80" s="3">
        <v>46369.666666666657</v>
      </c>
    </row>
    <row r="81" spans="1:15" x14ac:dyDescent="0.3">
      <c r="A81" s="1" t="s">
        <v>250</v>
      </c>
      <c r="B81" s="1" t="s">
        <v>251</v>
      </c>
      <c r="C81" s="1" t="s">
        <v>242</v>
      </c>
      <c r="D81" s="1" t="s">
        <v>243</v>
      </c>
      <c r="E81" s="1" t="s">
        <v>20</v>
      </c>
      <c r="F81" s="2">
        <v>0</v>
      </c>
      <c r="G81" s="3">
        <v>46350.333333333343</v>
      </c>
      <c r="H81" s="3">
        <v>46355.666666666657</v>
      </c>
      <c r="I81" s="4">
        <v>5</v>
      </c>
      <c r="J81" s="1" t="s">
        <v>252</v>
      </c>
      <c r="K81" s="4">
        <v>96</v>
      </c>
      <c r="L81" s="3">
        <v>46350.333333333343</v>
      </c>
      <c r="M81" s="3">
        <v>46355.666666666657</v>
      </c>
      <c r="N81" s="3">
        <v>46364.333333333343</v>
      </c>
      <c r="O81" s="3">
        <v>46369.666666666657</v>
      </c>
    </row>
    <row r="82" spans="1:15" x14ac:dyDescent="0.3">
      <c r="A82" s="1" t="s">
        <v>253</v>
      </c>
      <c r="B82" s="1" t="s">
        <v>254</v>
      </c>
      <c r="C82" s="1" t="s">
        <v>242</v>
      </c>
      <c r="D82" s="1" t="s">
        <v>243</v>
      </c>
      <c r="E82" s="1" t="s">
        <v>20</v>
      </c>
      <c r="F82" s="2">
        <v>0</v>
      </c>
      <c r="G82" s="3">
        <v>46350.333333333343</v>
      </c>
      <c r="H82" s="3">
        <v>46355.666666666657</v>
      </c>
      <c r="I82" s="4">
        <v>5</v>
      </c>
      <c r="J82" s="1" t="s">
        <v>255</v>
      </c>
      <c r="K82" s="4">
        <v>96</v>
      </c>
      <c r="L82" s="3">
        <v>46350.333333333343</v>
      </c>
      <c r="M82" s="3">
        <v>46355.666666666657</v>
      </c>
      <c r="N82" s="3">
        <v>46364.333333333343</v>
      </c>
      <c r="O82" s="3">
        <v>46369.666666666657</v>
      </c>
    </row>
    <row r="83" spans="1:15" x14ac:dyDescent="0.3">
      <c r="A83" s="1" t="s">
        <v>256</v>
      </c>
      <c r="B83" s="1" t="s">
        <v>257</v>
      </c>
      <c r="C83" s="1" t="s">
        <v>258</v>
      </c>
      <c r="D83" s="1" t="s">
        <v>259</v>
      </c>
      <c r="E83" s="1" t="s">
        <v>20</v>
      </c>
      <c r="F83" s="2">
        <v>0</v>
      </c>
      <c r="G83" s="3">
        <v>46356.333333333343</v>
      </c>
      <c r="H83" s="3">
        <v>46360.666666666657</v>
      </c>
      <c r="I83" s="4">
        <v>5</v>
      </c>
      <c r="J83" s="1" t="s">
        <v>260</v>
      </c>
      <c r="K83" s="4">
        <v>96</v>
      </c>
      <c r="L83" s="3">
        <v>46356.333333333343</v>
      </c>
      <c r="M83" s="3">
        <v>46360.666666666657</v>
      </c>
      <c r="N83" s="3">
        <v>46370.333333333343</v>
      </c>
      <c r="O83" s="3">
        <v>46374.666666666657</v>
      </c>
    </row>
    <row r="84" spans="1:15" x14ac:dyDescent="0.3">
      <c r="A84" s="1" t="s">
        <v>261</v>
      </c>
      <c r="B84" s="1" t="s">
        <v>262</v>
      </c>
      <c r="C84" s="1" t="s">
        <v>258</v>
      </c>
      <c r="D84" s="1" t="s">
        <v>259</v>
      </c>
      <c r="E84" s="1" t="s">
        <v>20</v>
      </c>
      <c r="F84" s="2">
        <v>0</v>
      </c>
      <c r="G84" s="3">
        <v>46356.333333333343</v>
      </c>
      <c r="H84" s="3">
        <v>46360.666666666657</v>
      </c>
      <c r="I84" s="4">
        <v>5</v>
      </c>
      <c r="J84" s="1" t="s">
        <v>263</v>
      </c>
      <c r="K84" s="4">
        <v>96</v>
      </c>
      <c r="L84" s="3">
        <v>46356.333333333343</v>
      </c>
      <c r="M84" s="3">
        <v>46360.666666666657</v>
      </c>
      <c r="N84" s="3">
        <v>46370.333333333343</v>
      </c>
      <c r="O84" s="3">
        <v>46374.666666666657</v>
      </c>
    </row>
    <row r="85" spans="1:15" x14ac:dyDescent="0.3">
      <c r="A85" s="1" t="s">
        <v>264</v>
      </c>
      <c r="B85" s="1" t="s">
        <v>265</v>
      </c>
      <c r="C85" s="1" t="s">
        <v>266</v>
      </c>
      <c r="D85" s="1" t="s">
        <v>267</v>
      </c>
      <c r="E85" s="1" t="s">
        <v>20</v>
      </c>
      <c r="F85" s="2">
        <v>0</v>
      </c>
      <c r="G85" s="3">
        <v>46374.333333333343</v>
      </c>
      <c r="H85" s="3">
        <v>46381.666666666657</v>
      </c>
      <c r="I85" s="4">
        <v>7</v>
      </c>
      <c r="J85" s="1" t="s">
        <v>268</v>
      </c>
      <c r="K85" s="4">
        <v>8</v>
      </c>
      <c r="L85" s="3">
        <v>46374.333333333343</v>
      </c>
      <c r="M85" s="3">
        <v>46381.666666666657</v>
      </c>
      <c r="N85" s="3">
        <v>46376.333333333343</v>
      </c>
      <c r="O85" s="3">
        <v>46383.666666666657</v>
      </c>
    </row>
    <row r="86" spans="1:15" x14ac:dyDescent="0.3">
      <c r="A86" s="1" t="s">
        <v>269</v>
      </c>
      <c r="B86" s="1" t="s">
        <v>270</v>
      </c>
      <c r="C86" s="1" t="s">
        <v>271</v>
      </c>
      <c r="D86" s="1" t="s">
        <v>272</v>
      </c>
      <c r="E86" s="1" t="s">
        <v>20</v>
      </c>
      <c r="F86" s="2">
        <v>0</v>
      </c>
      <c r="G86" s="3">
        <v>46383.333333333343</v>
      </c>
      <c r="H86" s="3">
        <v>46384.666666666657</v>
      </c>
      <c r="I86" s="4">
        <v>2</v>
      </c>
      <c r="J86" s="1" t="s">
        <v>273</v>
      </c>
      <c r="K86" s="4">
        <v>8</v>
      </c>
      <c r="L86" s="3">
        <v>46383.333333333343</v>
      </c>
      <c r="M86" s="3">
        <v>46384.666666666657</v>
      </c>
      <c r="N86" s="3">
        <v>46384.333333333343</v>
      </c>
      <c r="O86" s="3">
        <v>46385.666666666657</v>
      </c>
    </row>
  </sheetData>
  <mergeCells count="2">
    <mergeCell ref="A1:O1"/>
    <mergeCell ref="A2:O2"/>
  </mergeCells>
  <conditionalFormatting sqref="E5:E86">
    <cfRule type="containsText" dxfId="19" priority="1" operator="containsText" text="Completed">
      <formula>NOT(ISERROR(SEARCH("Completed",E5)))</formula>
    </cfRule>
    <cfRule type="containsText" dxfId="18" priority="2" operator="containsText" text="In Progress">
      <formula>NOT(ISERROR(SEARCH("In Progress",E5)))</formula>
    </cfRule>
    <cfRule type="containsText" dxfId="17" priority="3" operator="containsText" text="On Hold">
      <formula>NOT(ISERROR(SEARCH("On Hold",E5)))</formula>
    </cfRule>
  </conditionalFormatting>
  <conditionalFormatting sqref="F5:F86">
    <cfRule type="dataBar" priority="4">
      <dataBar>
        <cfvo type="min"/>
        <cfvo type="max"/>
        <color rgb="FF70AD47"/>
      </dataBar>
    </cfRule>
  </conditionalFormatting>
  <dataValidations count="2">
    <dataValidation type="list" allowBlank="1" showInputMessage="1" showErrorMessage="1" sqref="E5:E86" xr:uid="{00000000-0002-0000-0000-000000000000}">
      <formula1>"Not Started,In Progress,Completed,On Hold"</formula1>
    </dataValidation>
    <dataValidation type="whole" allowBlank="1" showInputMessage="1" showErrorMessage="1" errorTitle="Invalid progress" error="Use an integer from 0 to 100." promptTitle="Progress" prompt="Enter 0 to 100" sqref="F5:F86" xr:uid="{00000000-0002-0000-0000-000001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showGridLines="0" zoomScale="77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22.6640625" customWidth="1"/>
    <col min="2" max="2" width="48.6640625" customWidth="1"/>
    <col min="3" max="6" width="18.6640625" customWidth="1"/>
  </cols>
  <sheetData>
    <row r="1" spans="1:8" ht="28.05" customHeight="1" x14ac:dyDescent="0.3">
      <c r="A1" s="16" t="s">
        <v>350</v>
      </c>
      <c r="B1" s="16"/>
      <c r="C1" s="16"/>
      <c r="D1" s="16"/>
      <c r="E1" s="16"/>
      <c r="F1" s="16"/>
      <c r="G1" s="16"/>
      <c r="H1" s="16"/>
    </row>
    <row r="3" spans="1:8" x14ac:dyDescent="0.3">
      <c r="A3" s="5" t="s">
        <v>274</v>
      </c>
      <c r="B3" s="5" t="s">
        <v>275</v>
      </c>
      <c r="D3" s="5" t="s">
        <v>5</v>
      </c>
      <c r="E3" s="5" t="s">
        <v>283</v>
      </c>
      <c r="F3" s="5" t="s">
        <v>284</v>
      </c>
    </row>
    <row r="4" spans="1:8" ht="21" x14ac:dyDescent="0.4">
      <c r="A4" s="6" t="s">
        <v>276</v>
      </c>
      <c r="B4" s="7">
        <f>COUNTA(tblActivities[Activity ID])</f>
        <v>82</v>
      </c>
      <c r="D4" s="1" t="s">
        <v>20</v>
      </c>
      <c r="E4" s="8">
        <f>COUNTIF(tblActivities[Status],D4)</f>
        <v>68</v>
      </c>
      <c r="F4" s="9">
        <f>IFERROR(AVERAGEIF(tblActivities[Status],D4,tblActivities[Progress %])/100,0)</f>
        <v>0</v>
      </c>
    </row>
    <row r="5" spans="1:8" ht="21" x14ac:dyDescent="0.4">
      <c r="A5" s="6" t="s">
        <v>277</v>
      </c>
      <c r="B5" s="7">
        <f>SUM(tblActivities[Duration (days)])</f>
        <v>278</v>
      </c>
      <c r="D5" s="1" t="s">
        <v>285</v>
      </c>
      <c r="E5" s="8">
        <f>COUNTIF(tblActivities[Status],D5)</f>
        <v>4</v>
      </c>
      <c r="F5" s="9">
        <f>IFERROR(AVERAGEIF(tblActivities[Status],D5,tblActivities[Progress %])/100,0)</f>
        <v>0</v>
      </c>
    </row>
    <row r="6" spans="1:8" ht="21" x14ac:dyDescent="0.4">
      <c r="A6" s="6" t="s">
        <v>278</v>
      </c>
      <c r="B6" s="7">
        <f>COUNTIF(tblActivities[Status],"Completed")</f>
        <v>8</v>
      </c>
      <c r="D6" s="1" t="s">
        <v>286</v>
      </c>
      <c r="E6" s="8">
        <f>COUNTIF(tblActivities[Status],D6)</f>
        <v>8</v>
      </c>
      <c r="F6" s="9">
        <f>IFERROR(AVERAGEIF(tblActivities[Status],D6,tblActivities[Progress %])/100,0)</f>
        <v>0</v>
      </c>
    </row>
    <row r="7" spans="1:8" x14ac:dyDescent="0.3">
      <c r="A7" s="6" t="s">
        <v>279</v>
      </c>
      <c r="B7" s="10">
        <f>COUNTIF(tblActivities[Status],"In Progress")</f>
        <v>4</v>
      </c>
      <c r="D7" s="1" t="s">
        <v>287</v>
      </c>
      <c r="E7" s="8">
        <f>COUNTIF(tblActivities[Status],D7)</f>
        <v>2</v>
      </c>
      <c r="F7" s="9">
        <f>IFERROR(AVERAGEIF(tblActivities[Status],D7,tblActivities[Progress %])/100,0)</f>
        <v>0</v>
      </c>
    </row>
    <row r="8" spans="1:8" ht="21" x14ac:dyDescent="0.4">
      <c r="A8" s="6" t="s">
        <v>280</v>
      </c>
      <c r="B8" s="7">
        <f>COUNTIF(tblActivities[Status],"Not Started")</f>
        <v>68</v>
      </c>
    </row>
    <row r="9" spans="1:8" ht="21" x14ac:dyDescent="0.4">
      <c r="A9" s="6" t="s">
        <v>281</v>
      </c>
      <c r="B9" s="7">
        <f>COUNTIF(tblActivities[Status],"On Hold")</f>
        <v>2</v>
      </c>
    </row>
    <row r="10" spans="1:8" x14ac:dyDescent="0.3">
      <c r="A10" s="6" t="s">
        <v>282</v>
      </c>
      <c r="B10" s="10">
        <f>AVERAGE(tblActivities[Progress %])/100</f>
        <v>0</v>
      </c>
    </row>
    <row r="13" spans="1:8" ht="17.399999999999999" x14ac:dyDescent="0.35">
      <c r="A13" s="11" t="s">
        <v>288</v>
      </c>
    </row>
    <row r="14" spans="1:8" x14ac:dyDescent="0.3">
      <c r="A14" s="5" t="s">
        <v>3</v>
      </c>
      <c r="B14" s="5" t="s">
        <v>4</v>
      </c>
      <c r="C14" s="5" t="s">
        <v>283</v>
      </c>
      <c r="D14" s="5" t="s">
        <v>9</v>
      </c>
      <c r="E14" s="5" t="s">
        <v>284</v>
      </c>
    </row>
    <row r="15" spans="1:8" x14ac:dyDescent="0.3">
      <c r="A15" s="1" t="s">
        <v>18</v>
      </c>
      <c r="B15" s="1" t="s">
        <v>19</v>
      </c>
      <c r="C15" s="8">
        <f>COUNTIF(tblActivities[WBS Code],A15)</f>
        <v>9</v>
      </c>
      <c r="D15" s="4">
        <f>SUMIF(tblActivities[WBS Code],A15,tblActivities[Duration (days)])</f>
        <v>0</v>
      </c>
      <c r="E15" s="9">
        <f>IFERROR(AVERAGEIF(tblActivities[WBS Code],A15,tblActivities[Progress %])/100,0)</f>
        <v>0</v>
      </c>
    </row>
    <row r="16" spans="1:8" x14ac:dyDescent="0.3">
      <c r="A16" s="1" t="s">
        <v>228</v>
      </c>
      <c r="B16" s="1" t="s">
        <v>229</v>
      </c>
      <c r="C16" s="8">
        <f>COUNTIF(tblActivities[WBS Code],A16)</f>
        <v>5</v>
      </c>
      <c r="D16" s="4">
        <f>SUMIF(tblActivities[WBS Code],A16,tblActivities[Duration (days)])</f>
        <v>15</v>
      </c>
      <c r="E16" s="9">
        <f>IFERROR(AVERAGEIF(tblActivities[WBS Code],A16,tblActivities[Progress %])/100,0)</f>
        <v>0</v>
      </c>
    </row>
    <row r="17" spans="1:5" x14ac:dyDescent="0.3">
      <c r="A17" s="1" t="s">
        <v>242</v>
      </c>
      <c r="B17" s="1" t="s">
        <v>243</v>
      </c>
      <c r="C17" s="8">
        <f>COUNTIF(tblActivities[WBS Code],A17)</f>
        <v>5</v>
      </c>
      <c r="D17" s="4">
        <f>SUMIF(tblActivities[WBS Code],A17,tblActivities[Duration (days)])</f>
        <v>25</v>
      </c>
      <c r="E17" s="9">
        <f>IFERROR(AVERAGEIF(tblActivities[WBS Code],A17,tblActivities[Progress %])/100,0)</f>
        <v>0</v>
      </c>
    </row>
    <row r="18" spans="1:5" x14ac:dyDescent="0.3">
      <c r="A18" s="1" t="s">
        <v>258</v>
      </c>
      <c r="B18" s="1" t="s">
        <v>259</v>
      </c>
      <c r="C18" s="8">
        <f>COUNTIF(tblActivities[WBS Code],A18)</f>
        <v>2</v>
      </c>
      <c r="D18" s="4">
        <f>SUMIF(tblActivities[WBS Code],A18,tblActivities[Duration (days)])</f>
        <v>10</v>
      </c>
      <c r="E18" s="9">
        <f>IFERROR(AVERAGEIF(tblActivities[WBS Code],A18,tblActivities[Progress %])/100,0)</f>
        <v>0</v>
      </c>
    </row>
    <row r="19" spans="1:5" x14ac:dyDescent="0.3">
      <c r="A19" s="1" t="s">
        <v>266</v>
      </c>
      <c r="B19" s="1" t="s">
        <v>267</v>
      </c>
      <c r="C19" s="8">
        <f>COUNTIF(tblActivities[WBS Code],A19)</f>
        <v>1</v>
      </c>
      <c r="D19" s="4">
        <f>SUMIF(tblActivities[WBS Code],A19,tblActivities[Duration (days)])</f>
        <v>7</v>
      </c>
      <c r="E19" s="9">
        <f>IFERROR(AVERAGEIF(tblActivities[WBS Code],A19,tblActivities[Progress %])/100,0)</f>
        <v>0</v>
      </c>
    </row>
    <row r="20" spans="1:5" x14ac:dyDescent="0.3">
      <c r="A20" s="1" t="s">
        <v>271</v>
      </c>
      <c r="B20" s="1" t="s">
        <v>272</v>
      </c>
      <c r="C20" s="8">
        <f>COUNTIF(tblActivities[WBS Code],A20)</f>
        <v>1</v>
      </c>
      <c r="D20" s="4">
        <f>SUMIF(tblActivities[WBS Code],A20,tblActivities[Duration (days)])</f>
        <v>2</v>
      </c>
      <c r="E20" s="9">
        <f>IFERROR(AVERAGEIF(tblActivities[WBS Code],A20,tblActivities[Progress %])/100,0)</f>
        <v>0</v>
      </c>
    </row>
    <row r="21" spans="1:5" x14ac:dyDescent="0.3">
      <c r="A21" s="1" t="s">
        <v>46</v>
      </c>
      <c r="B21" s="1" t="s">
        <v>47</v>
      </c>
      <c r="C21" s="8">
        <f>COUNTIF(tblActivities[WBS Code],A21)</f>
        <v>3</v>
      </c>
      <c r="D21" s="4">
        <f>SUMIF(tblActivities[WBS Code],A21,tblActivities[Duration (days)])</f>
        <v>6</v>
      </c>
      <c r="E21" s="9">
        <f>IFERROR(AVERAGEIF(tblActivities[WBS Code],A21,tblActivities[Progress %])/100,0)</f>
        <v>0</v>
      </c>
    </row>
    <row r="22" spans="1:5" x14ac:dyDescent="0.3">
      <c r="A22" s="1" t="s">
        <v>57</v>
      </c>
      <c r="B22" s="1" t="s">
        <v>58</v>
      </c>
      <c r="C22" s="8">
        <f>COUNTIF(tblActivities[WBS Code],A22)</f>
        <v>3</v>
      </c>
      <c r="D22" s="4">
        <f>SUMIF(tblActivities[WBS Code],A22,tblActivities[Duration (days)])</f>
        <v>3</v>
      </c>
      <c r="E22" s="9">
        <f>IFERROR(AVERAGEIF(tblActivities[WBS Code],A22,tblActivities[Progress %])/100,0)</f>
        <v>0</v>
      </c>
    </row>
    <row r="23" spans="1:5" x14ac:dyDescent="0.3">
      <c r="A23" s="1" t="s">
        <v>68</v>
      </c>
      <c r="B23" s="1" t="s">
        <v>69</v>
      </c>
      <c r="C23" s="8">
        <f>COUNTIF(tblActivities[WBS Code],A23)</f>
        <v>12</v>
      </c>
      <c r="D23" s="4">
        <f>SUMIF(tblActivities[WBS Code],A23,tblActivities[Duration (days)])</f>
        <v>26</v>
      </c>
      <c r="E23" s="9">
        <f>IFERROR(AVERAGEIF(tblActivities[WBS Code],A23,tblActivities[Progress %])/100,0)</f>
        <v>0</v>
      </c>
    </row>
    <row r="24" spans="1:5" x14ac:dyDescent="0.3">
      <c r="A24" s="1" t="s">
        <v>98</v>
      </c>
      <c r="B24" s="1" t="s">
        <v>99</v>
      </c>
      <c r="C24" s="8">
        <f>COUNTIF(tblActivities[WBS Code],A24)</f>
        <v>9</v>
      </c>
      <c r="D24" s="4">
        <f>SUMIF(tblActivities[WBS Code],A24,tblActivities[Duration (days)])</f>
        <v>49</v>
      </c>
      <c r="E24" s="9">
        <f>IFERROR(AVERAGEIF(tblActivities[WBS Code],A24,tblActivities[Progress %])/100,0)</f>
        <v>0</v>
      </c>
    </row>
    <row r="25" spans="1:5" x14ac:dyDescent="0.3">
      <c r="A25" s="1" t="s">
        <v>127</v>
      </c>
      <c r="B25" s="1" t="s">
        <v>128</v>
      </c>
      <c r="C25" s="8">
        <f>COUNTIF(tblActivities[WBS Code],A25)</f>
        <v>8</v>
      </c>
      <c r="D25" s="4">
        <f>SUMIF(tblActivities[WBS Code],A25,tblActivities[Duration (days)])</f>
        <v>36</v>
      </c>
      <c r="E25" s="9">
        <f>IFERROR(AVERAGEIF(tblActivities[WBS Code],A25,tblActivities[Progress %])/100,0)</f>
        <v>0</v>
      </c>
    </row>
    <row r="26" spans="1:5" x14ac:dyDescent="0.3">
      <c r="A26" s="1" t="s">
        <v>151</v>
      </c>
      <c r="B26" s="1" t="s">
        <v>152</v>
      </c>
      <c r="C26" s="8">
        <f>COUNTIF(tblActivities[WBS Code],A26)</f>
        <v>4</v>
      </c>
      <c r="D26" s="4">
        <f>SUMIF(tblActivities[WBS Code],A26,tblActivities[Duration (days)])</f>
        <v>20</v>
      </c>
      <c r="E26" s="9">
        <f>IFERROR(AVERAGEIF(tblActivities[WBS Code],A26,tblActivities[Progress %])/100,0)</f>
        <v>0</v>
      </c>
    </row>
    <row r="27" spans="1:5" x14ac:dyDescent="0.3">
      <c r="A27" s="1" t="s">
        <v>165</v>
      </c>
      <c r="B27" s="1" t="s">
        <v>166</v>
      </c>
      <c r="C27" s="8">
        <f>COUNTIF(tblActivities[WBS Code],A27)</f>
        <v>4</v>
      </c>
      <c r="D27" s="4">
        <f>SUMIF(tblActivities[WBS Code],A27,tblActivities[Duration (days)])</f>
        <v>20</v>
      </c>
      <c r="E27" s="9">
        <f>IFERROR(AVERAGEIF(tblActivities[WBS Code],A27,tblActivities[Progress %])/100,0)</f>
        <v>0</v>
      </c>
    </row>
    <row r="28" spans="1:5" x14ac:dyDescent="0.3">
      <c r="A28" s="1" t="s">
        <v>178</v>
      </c>
      <c r="B28" s="1" t="s">
        <v>179</v>
      </c>
      <c r="C28" s="8">
        <f>COUNTIF(tblActivities[WBS Code],A28)</f>
        <v>8</v>
      </c>
      <c r="D28" s="4">
        <f>SUMIF(tblActivities[WBS Code],A28,tblActivities[Duration (days)])</f>
        <v>17</v>
      </c>
      <c r="E28" s="9">
        <f>IFERROR(AVERAGEIF(tblActivities[WBS Code],A28,tblActivities[Progress %])/100,0)</f>
        <v>0</v>
      </c>
    </row>
    <row r="29" spans="1:5" x14ac:dyDescent="0.3">
      <c r="A29" s="1" t="s">
        <v>202</v>
      </c>
      <c r="B29" s="1" t="s">
        <v>203</v>
      </c>
      <c r="C29" s="8">
        <f>COUNTIF(tblActivities[WBS Code],A29)</f>
        <v>6</v>
      </c>
      <c r="D29" s="4">
        <f>SUMIF(tblActivities[WBS Code],A29,tblActivities[Duration (days)])</f>
        <v>12</v>
      </c>
      <c r="E29" s="9">
        <f>IFERROR(AVERAGEIF(tblActivities[WBS Code],A29,tblActivities[Progress %])/100,0)</f>
        <v>0</v>
      </c>
    </row>
    <row r="30" spans="1:5" x14ac:dyDescent="0.3">
      <c r="A30" s="1" t="s">
        <v>220</v>
      </c>
      <c r="B30" s="1" t="s">
        <v>221</v>
      </c>
      <c r="C30" s="8">
        <f>COUNTIF(tblActivities[WBS Code],A30)</f>
        <v>2</v>
      </c>
      <c r="D30" s="4">
        <f>SUMIF(tblActivities[WBS Code],A30,tblActivities[Duration (days)])</f>
        <v>30</v>
      </c>
      <c r="E30" s="9">
        <f>IFERROR(AVERAGEIF(tblActivities[WBS Code],A30,tblActivities[Progress %])/100,0)</f>
        <v>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V85"/>
  <sheetViews>
    <sheetView showGridLines="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C3" sqref="C3"/>
    </sheetView>
  </sheetViews>
  <sheetFormatPr defaultRowHeight="14.4" x14ac:dyDescent="0.3"/>
  <cols>
    <col min="1" max="1" width="12.6640625" customWidth="1"/>
    <col min="2" max="2" width="34.6640625" customWidth="1"/>
    <col min="3" max="3" width="15.6640625" customWidth="1"/>
    <col min="4" max="6" width="14.6640625" customWidth="1"/>
    <col min="7" max="7" width="8.33203125" customWidth="1"/>
    <col min="8" max="8" width="11.21875" customWidth="1"/>
    <col min="9" max="9" width="7.77734375" customWidth="1"/>
    <col min="10" max="100" width="3.88671875" customWidth="1"/>
  </cols>
  <sheetData>
    <row r="1" spans="1:100" ht="30" customHeight="1" x14ac:dyDescent="0.3">
      <c r="A1" s="16" t="s">
        <v>289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00" ht="43.2" x14ac:dyDescent="0.3">
      <c r="A2" s="5" t="s">
        <v>290</v>
      </c>
      <c r="B2" s="1" t="s">
        <v>291</v>
      </c>
      <c r="C2" s="5" t="s">
        <v>292</v>
      </c>
      <c r="D2" s="1" t="s">
        <v>293</v>
      </c>
      <c r="F2" s="12" t="s">
        <v>294</v>
      </c>
      <c r="G2" s="13" t="s">
        <v>286</v>
      </c>
      <c r="H2" s="14" t="s">
        <v>295</v>
      </c>
      <c r="I2" s="5" t="s">
        <v>296</v>
      </c>
      <c r="J2" s="1" t="str">
        <f>TEXT(MIN(tblActivities[Start]),"dd-mmm-yyyy")&amp;" → "&amp;TEXT(MAX(tblActivities[Finish]),"dd-mmm-yyyy")</f>
        <v>27-Sep-2026 → 28-Dec-2026</v>
      </c>
    </row>
    <row r="3" spans="1:100" ht="38.4" x14ac:dyDescent="0.3">
      <c r="A3" s="5" t="s">
        <v>1</v>
      </c>
      <c r="B3" s="5" t="s">
        <v>2</v>
      </c>
      <c r="C3" s="5" t="s">
        <v>3</v>
      </c>
      <c r="D3" s="5" t="s">
        <v>7</v>
      </c>
      <c r="E3" s="5" t="s">
        <v>8</v>
      </c>
      <c r="F3" s="5" t="s">
        <v>5</v>
      </c>
      <c r="G3" s="5" t="s">
        <v>297</v>
      </c>
      <c r="H3" s="15">
        <v>46292</v>
      </c>
      <c r="I3" s="15">
        <v>46293</v>
      </c>
      <c r="J3" s="15">
        <v>46294</v>
      </c>
      <c r="K3" s="15">
        <v>46295</v>
      </c>
      <c r="L3" s="15">
        <v>46296</v>
      </c>
      <c r="M3" s="15">
        <v>46297</v>
      </c>
      <c r="N3" s="15">
        <v>46298</v>
      </c>
      <c r="O3" s="15">
        <v>46299</v>
      </c>
      <c r="P3" s="15">
        <v>46300</v>
      </c>
      <c r="Q3" s="15">
        <v>46301</v>
      </c>
      <c r="R3" s="15">
        <v>46302</v>
      </c>
      <c r="S3" s="15">
        <v>46303</v>
      </c>
      <c r="T3" s="15">
        <v>46304</v>
      </c>
      <c r="U3" s="15">
        <v>46305</v>
      </c>
      <c r="V3" s="15">
        <v>46306</v>
      </c>
      <c r="W3" s="15">
        <v>46307</v>
      </c>
      <c r="X3" s="15">
        <v>46308</v>
      </c>
      <c r="Y3" s="15">
        <v>46309</v>
      </c>
      <c r="Z3" s="15">
        <v>46310</v>
      </c>
      <c r="AA3" s="15">
        <v>46311</v>
      </c>
      <c r="AB3" s="15">
        <v>46312</v>
      </c>
      <c r="AC3" s="15">
        <v>46313</v>
      </c>
      <c r="AD3" s="15">
        <v>46314</v>
      </c>
      <c r="AE3" s="15">
        <v>46315</v>
      </c>
      <c r="AF3" s="15">
        <v>46316</v>
      </c>
      <c r="AG3" s="15">
        <v>46317</v>
      </c>
      <c r="AH3" s="15">
        <v>46318</v>
      </c>
      <c r="AI3" s="15">
        <v>46319</v>
      </c>
      <c r="AJ3" s="15">
        <v>46320</v>
      </c>
      <c r="AK3" s="15">
        <v>46321</v>
      </c>
      <c r="AL3" s="15">
        <v>46322</v>
      </c>
      <c r="AM3" s="15">
        <v>46323</v>
      </c>
      <c r="AN3" s="15">
        <v>46324</v>
      </c>
      <c r="AO3" s="15">
        <v>46325</v>
      </c>
      <c r="AP3" s="15">
        <v>46326</v>
      </c>
      <c r="AQ3" s="15">
        <v>46327</v>
      </c>
      <c r="AR3" s="15">
        <v>46328</v>
      </c>
      <c r="AS3" s="15">
        <v>46329</v>
      </c>
      <c r="AT3" s="15">
        <v>46330</v>
      </c>
      <c r="AU3" s="15">
        <v>46331</v>
      </c>
      <c r="AV3" s="15">
        <v>46332</v>
      </c>
      <c r="AW3" s="15">
        <v>46333</v>
      </c>
      <c r="AX3" s="15">
        <v>46334</v>
      </c>
      <c r="AY3" s="15">
        <v>46335</v>
      </c>
      <c r="AZ3" s="15">
        <v>46336</v>
      </c>
      <c r="BA3" s="15">
        <v>46337</v>
      </c>
      <c r="BB3" s="15">
        <v>46338</v>
      </c>
      <c r="BC3" s="15">
        <v>46339</v>
      </c>
      <c r="BD3" s="15">
        <v>46340</v>
      </c>
      <c r="BE3" s="15">
        <v>46341</v>
      </c>
      <c r="BF3" s="15">
        <v>46342</v>
      </c>
      <c r="BG3" s="15">
        <v>46343</v>
      </c>
      <c r="BH3" s="15">
        <v>46344</v>
      </c>
      <c r="BI3" s="15">
        <v>46345</v>
      </c>
      <c r="BJ3" s="15">
        <v>46346</v>
      </c>
      <c r="BK3" s="15">
        <v>46347</v>
      </c>
      <c r="BL3" s="15">
        <v>46348</v>
      </c>
      <c r="BM3" s="15">
        <v>46349</v>
      </c>
      <c r="BN3" s="15">
        <v>46350</v>
      </c>
      <c r="BO3" s="15">
        <v>46351</v>
      </c>
      <c r="BP3" s="15">
        <v>46352</v>
      </c>
      <c r="BQ3" s="15">
        <v>46353</v>
      </c>
      <c r="BR3" s="15">
        <v>46354</v>
      </c>
      <c r="BS3" s="15">
        <v>46355</v>
      </c>
      <c r="BT3" s="15">
        <v>46356</v>
      </c>
      <c r="BU3" s="15">
        <v>46357</v>
      </c>
      <c r="BV3" s="15">
        <v>46358</v>
      </c>
      <c r="BW3" s="15">
        <v>46359</v>
      </c>
      <c r="BX3" s="15">
        <v>46360</v>
      </c>
      <c r="BY3" s="15">
        <v>46361</v>
      </c>
      <c r="BZ3" s="15">
        <v>46362</v>
      </c>
      <c r="CA3" s="15">
        <v>46363</v>
      </c>
      <c r="CB3" s="15">
        <v>46364</v>
      </c>
      <c r="CC3" s="15">
        <v>46365</v>
      </c>
      <c r="CD3" s="15">
        <v>46366</v>
      </c>
      <c r="CE3" s="15">
        <v>46367</v>
      </c>
      <c r="CF3" s="15">
        <v>46368</v>
      </c>
      <c r="CG3" s="15">
        <v>46369</v>
      </c>
      <c r="CH3" s="15">
        <v>46370</v>
      </c>
      <c r="CI3" s="15">
        <v>46371</v>
      </c>
      <c r="CJ3" s="15">
        <v>46372</v>
      </c>
      <c r="CK3" s="15">
        <v>46373</v>
      </c>
      <c r="CL3" s="15">
        <v>46374</v>
      </c>
      <c r="CM3" s="15">
        <v>46375</v>
      </c>
      <c r="CN3" s="15">
        <v>46376</v>
      </c>
      <c r="CO3" s="15">
        <v>46377</v>
      </c>
      <c r="CP3" s="15">
        <v>46378</v>
      </c>
      <c r="CQ3" s="15">
        <v>46379</v>
      </c>
      <c r="CR3" s="15">
        <v>46380</v>
      </c>
      <c r="CS3" s="15">
        <v>46381</v>
      </c>
      <c r="CT3" s="15">
        <v>46382</v>
      </c>
      <c r="CU3" s="15">
        <v>46383</v>
      </c>
      <c r="CV3" s="15">
        <v>46384</v>
      </c>
    </row>
    <row r="4" spans="1:100" x14ac:dyDescent="0.3">
      <c r="A4" s="1" t="s">
        <v>16</v>
      </c>
      <c r="B4" s="1" t="s">
        <v>17</v>
      </c>
      <c r="C4" s="1" t="s">
        <v>18</v>
      </c>
      <c r="D4" s="3">
        <v>46292.333333333343</v>
      </c>
      <c r="E4" s="3">
        <v>46292.333333333343</v>
      </c>
      <c r="F4" s="1" t="s">
        <v>20</v>
      </c>
      <c r="G4" s="9">
        <v>0</v>
      </c>
    </row>
    <row r="5" spans="1:100" x14ac:dyDescent="0.3">
      <c r="A5" s="1" t="s">
        <v>21</v>
      </c>
      <c r="B5" s="1" t="s">
        <v>22</v>
      </c>
      <c r="C5" s="1" t="s">
        <v>18</v>
      </c>
      <c r="D5" s="3">
        <v>46294.666666666657</v>
      </c>
      <c r="E5" s="3">
        <v>46294.666666666657</v>
      </c>
      <c r="F5" s="1" t="s">
        <v>20</v>
      </c>
      <c r="G5" s="9">
        <v>0</v>
      </c>
    </row>
    <row r="6" spans="1:100" x14ac:dyDescent="0.3">
      <c r="A6" s="1" t="s">
        <v>24</v>
      </c>
      <c r="B6" s="1" t="s">
        <v>25</v>
      </c>
      <c r="C6" s="1" t="s">
        <v>18</v>
      </c>
      <c r="D6" s="3">
        <v>46325.666666666657</v>
      </c>
      <c r="E6" s="3">
        <v>46325.666666666657</v>
      </c>
      <c r="F6" s="1" t="s">
        <v>20</v>
      </c>
      <c r="G6" s="9">
        <v>0</v>
      </c>
    </row>
    <row r="7" spans="1:100" x14ac:dyDescent="0.3">
      <c r="A7" s="1" t="s">
        <v>27</v>
      </c>
      <c r="B7" s="1" t="s">
        <v>28</v>
      </c>
      <c r="C7" s="1" t="s">
        <v>18</v>
      </c>
      <c r="D7" s="3">
        <v>46358.666666666657</v>
      </c>
      <c r="E7" s="3">
        <v>46358.666666666657</v>
      </c>
      <c r="F7" s="1" t="s">
        <v>20</v>
      </c>
      <c r="G7" s="9">
        <v>0</v>
      </c>
    </row>
    <row r="8" spans="1:100" x14ac:dyDescent="0.3">
      <c r="A8" s="1" t="s">
        <v>30</v>
      </c>
      <c r="B8" s="1" t="s">
        <v>31</v>
      </c>
      <c r="C8" s="1" t="s">
        <v>18</v>
      </c>
      <c r="D8" s="3">
        <v>46364.666666666657</v>
      </c>
      <c r="E8" s="3">
        <v>46364.666666666657</v>
      </c>
      <c r="F8" s="1" t="s">
        <v>20</v>
      </c>
      <c r="G8" s="9">
        <v>0</v>
      </c>
    </row>
    <row r="9" spans="1:100" x14ac:dyDescent="0.3">
      <c r="A9" s="1" t="s">
        <v>33</v>
      </c>
      <c r="B9" s="1" t="s">
        <v>34</v>
      </c>
      <c r="C9" s="1" t="s">
        <v>18</v>
      </c>
      <c r="D9" s="3">
        <v>46325.666666666657</v>
      </c>
      <c r="E9" s="3">
        <v>46325.666666666657</v>
      </c>
      <c r="F9" s="1" t="s">
        <v>20</v>
      </c>
      <c r="G9" s="9">
        <v>0</v>
      </c>
    </row>
    <row r="10" spans="1:100" x14ac:dyDescent="0.3">
      <c r="A10" s="1" t="s">
        <v>35</v>
      </c>
      <c r="B10" s="1" t="s">
        <v>36</v>
      </c>
      <c r="C10" s="1" t="s">
        <v>18</v>
      </c>
      <c r="D10" s="3">
        <v>46373.666666666657</v>
      </c>
      <c r="E10" s="3">
        <v>46373.666666666657</v>
      </c>
      <c r="F10" s="1" t="s">
        <v>20</v>
      </c>
      <c r="G10" s="9">
        <v>0</v>
      </c>
    </row>
    <row r="11" spans="1:100" x14ac:dyDescent="0.3">
      <c r="A11" s="1" t="s">
        <v>38</v>
      </c>
      <c r="B11" s="1" t="s">
        <v>39</v>
      </c>
      <c r="C11" s="1" t="s">
        <v>18</v>
      </c>
      <c r="D11" s="3">
        <v>46381.666666666657</v>
      </c>
      <c r="E11" s="3">
        <v>46381.666666666657</v>
      </c>
      <c r="F11" s="1" t="s">
        <v>20</v>
      </c>
      <c r="G11" s="9">
        <v>0</v>
      </c>
    </row>
    <row r="12" spans="1:100" x14ac:dyDescent="0.3">
      <c r="A12" s="1" t="s">
        <v>41</v>
      </c>
      <c r="B12" s="1" t="s">
        <v>42</v>
      </c>
      <c r="C12" s="1" t="s">
        <v>18</v>
      </c>
      <c r="D12" s="3">
        <v>46384.666666666657</v>
      </c>
      <c r="E12" s="3">
        <v>46384.666666666657</v>
      </c>
      <c r="F12" s="1" t="s">
        <v>20</v>
      </c>
      <c r="G12" s="9">
        <v>0</v>
      </c>
    </row>
    <row r="13" spans="1:100" x14ac:dyDescent="0.3">
      <c r="A13" s="1" t="s">
        <v>44</v>
      </c>
      <c r="B13" s="1" t="s">
        <v>45</v>
      </c>
      <c r="C13" s="1" t="s">
        <v>46</v>
      </c>
      <c r="D13" s="3">
        <v>46292.333333333343</v>
      </c>
      <c r="E13" s="3">
        <v>46293.666666666657</v>
      </c>
      <c r="F13" s="1" t="s">
        <v>20</v>
      </c>
      <c r="G13" s="9">
        <v>0</v>
      </c>
    </row>
    <row r="14" spans="1:100" x14ac:dyDescent="0.3">
      <c r="A14" s="1" t="s">
        <v>49</v>
      </c>
      <c r="B14" s="1" t="s">
        <v>50</v>
      </c>
      <c r="C14" s="1" t="s">
        <v>46</v>
      </c>
      <c r="D14" s="3">
        <v>46292.333333333343</v>
      </c>
      <c r="E14" s="3">
        <v>46293.666666666657</v>
      </c>
      <c r="F14" s="1" t="s">
        <v>20</v>
      </c>
      <c r="G14" s="9">
        <v>0</v>
      </c>
    </row>
    <row r="15" spans="1:100" x14ac:dyDescent="0.3">
      <c r="A15" s="1" t="s">
        <v>52</v>
      </c>
      <c r="B15" s="1" t="s">
        <v>53</v>
      </c>
      <c r="C15" s="1" t="s">
        <v>46</v>
      </c>
      <c r="D15" s="3">
        <v>46292.333333333343</v>
      </c>
      <c r="E15" s="3">
        <v>46293.666666666657</v>
      </c>
      <c r="F15" s="1" t="s">
        <v>20</v>
      </c>
      <c r="G15" s="9">
        <v>0</v>
      </c>
    </row>
    <row r="16" spans="1:100" x14ac:dyDescent="0.3">
      <c r="A16" s="1" t="s">
        <v>55</v>
      </c>
      <c r="B16" s="1" t="s">
        <v>56</v>
      </c>
      <c r="C16" s="1" t="s">
        <v>57</v>
      </c>
      <c r="D16" s="3">
        <v>46293.333333333343</v>
      </c>
      <c r="E16" s="3">
        <v>46293.666666666657</v>
      </c>
      <c r="F16" s="1" t="s">
        <v>20</v>
      </c>
      <c r="G16" s="9">
        <v>0</v>
      </c>
    </row>
    <row r="17" spans="1:7" x14ac:dyDescent="0.3">
      <c r="A17" s="1" t="s">
        <v>60</v>
      </c>
      <c r="B17" s="1" t="s">
        <v>61</v>
      </c>
      <c r="C17" s="1" t="s">
        <v>57</v>
      </c>
      <c r="D17" s="3">
        <v>46293.333333333343</v>
      </c>
      <c r="E17" s="3">
        <v>46293.666666666657</v>
      </c>
      <c r="F17" s="1" t="s">
        <v>20</v>
      </c>
      <c r="G17" s="9">
        <v>0</v>
      </c>
    </row>
    <row r="18" spans="1:7" x14ac:dyDescent="0.3">
      <c r="A18" s="1" t="s">
        <v>63</v>
      </c>
      <c r="B18" s="1" t="s">
        <v>64</v>
      </c>
      <c r="C18" s="1" t="s">
        <v>57</v>
      </c>
      <c r="D18" s="3">
        <v>46294.333333333343</v>
      </c>
      <c r="E18" s="3">
        <v>46294.666666666657</v>
      </c>
      <c r="F18" s="1" t="s">
        <v>20</v>
      </c>
      <c r="G18" s="9">
        <v>0</v>
      </c>
    </row>
    <row r="19" spans="1:7" x14ac:dyDescent="0.3">
      <c r="A19" s="1" t="s">
        <v>66</v>
      </c>
      <c r="B19" s="1" t="s">
        <v>67</v>
      </c>
      <c r="C19" s="1" t="s">
        <v>68</v>
      </c>
      <c r="D19" s="3">
        <v>46295.333333333343</v>
      </c>
      <c r="E19" s="3">
        <v>46295.666666666657</v>
      </c>
      <c r="F19" s="1" t="s">
        <v>20</v>
      </c>
      <c r="G19" s="9">
        <v>0</v>
      </c>
    </row>
    <row r="20" spans="1:7" x14ac:dyDescent="0.3">
      <c r="A20" s="1" t="s">
        <v>70</v>
      </c>
      <c r="B20" s="1" t="s">
        <v>71</v>
      </c>
      <c r="C20" s="1" t="s">
        <v>68</v>
      </c>
      <c r="D20" s="3">
        <v>46301.333333333343</v>
      </c>
      <c r="E20" s="3">
        <v>46301.666666666657</v>
      </c>
      <c r="F20" s="1" t="s">
        <v>20</v>
      </c>
      <c r="G20" s="9">
        <v>0</v>
      </c>
    </row>
    <row r="21" spans="1:7" x14ac:dyDescent="0.3">
      <c r="A21" s="1" t="s">
        <v>73</v>
      </c>
      <c r="B21" s="1" t="s">
        <v>74</v>
      </c>
      <c r="C21" s="1" t="s">
        <v>68</v>
      </c>
      <c r="D21" s="3">
        <v>46301.333333333343</v>
      </c>
      <c r="E21" s="3">
        <v>46301.666666666657</v>
      </c>
      <c r="F21" s="1" t="s">
        <v>20</v>
      </c>
      <c r="G21" s="9">
        <v>0</v>
      </c>
    </row>
    <row r="22" spans="1:7" x14ac:dyDescent="0.3">
      <c r="A22" s="1" t="s">
        <v>75</v>
      </c>
      <c r="B22" s="1" t="s">
        <v>76</v>
      </c>
      <c r="C22" s="1" t="s">
        <v>68</v>
      </c>
      <c r="D22" s="3">
        <v>46302.333333333343</v>
      </c>
      <c r="E22" s="3">
        <v>46303.666666666657</v>
      </c>
      <c r="F22" s="1" t="s">
        <v>20</v>
      </c>
      <c r="G22" s="9">
        <v>0</v>
      </c>
    </row>
    <row r="23" spans="1:7" x14ac:dyDescent="0.3">
      <c r="A23" s="1" t="s">
        <v>78</v>
      </c>
      <c r="B23" s="1" t="s">
        <v>79</v>
      </c>
      <c r="C23" s="1" t="s">
        <v>68</v>
      </c>
      <c r="D23" s="3">
        <v>46301.333333333343</v>
      </c>
      <c r="E23" s="3">
        <v>46302.666666666657</v>
      </c>
      <c r="F23" s="1" t="s">
        <v>20</v>
      </c>
      <c r="G23" s="9">
        <v>0</v>
      </c>
    </row>
    <row r="24" spans="1:7" x14ac:dyDescent="0.3">
      <c r="A24" s="1" t="s">
        <v>80</v>
      </c>
      <c r="B24" s="1" t="s">
        <v>81</v>
      </c>
      <c r="C24" s="1" t="s">
        <v>68</v>
      </c>
      <c r="D24" s="3">
        <v>46306.333333333343</v>
      </c>
      <c r="E24" s="3">
        <v>46306.666666666657</v>
      </c>
      <c r="F24" s="1" t="s">
        <v>20</v>
      </c>
      <c r="G24" s="9">
        <v>0</v>
      </c>
    </row>
    <row r="25" spans="1:7" x14ac:dyDescent="0.3">
      <c r="A25" s="1" t="s">
        <v>83</v>
      </c>
      <c r="B25" s="1" t="s">
        <v>84</v>
      </c>
      <c r="C25" s="1" t="s">
        <v>68</v>
      </c>
      <c r="D25" s="3">
        <v>46311.333333333343</v>
      </c>
      <c r="E25" s="3">
        <v>46313.666666666657</v>
      </c>
      <c r="F25" s="1" t="s">
        <v>20</v>
      </c>
      <c r="G25" s="9">
        <v>0</v>
      </c>
    </row>
    <row r="26" spans="1:7" x14ac:dyDescent="0.3">
      <c r="A26" s="1" t="s">
        <v>86</v>
      </c>
      <c r="B26" s="1" t="s">
        <v>87</v>
      </c>
      <c r="C26" s="1" t="s">
        <v>68</v>
      </c>
      <c r="D26" s="3">
        <v>46301.333333333343</v>
      </c>
      <c r="E26" s="3">
        <v>46306.666666666657</v>
      </c>
      <c r="F26" s="1" t="s">
        <v>20</v>
      </c>
      <c r="G26" s="9">
        <v>0</v>
      </c>
    </row>
    <row r="27" spans="1:7" x14ac:dyDescent="0.3">
      <c r="A27" s="1" t="s">
        <v>88</v>
      </c>
      <c r="B27" s="1" t="s">
        <v>89</v>
      </c>
      <c r="C27" s="1" t="s">
        <v>68</v>
      </c>
      <c r="D27" s="3">
        <v>46301.333333333343</v>
      </c>
      <c r="E27" s="3">
        <v>46306.666666666657</v>
      </c>
      <c r="F27" s="1" t="s">
        <v>20</v>
      </c>
      <c r="G27" s="9">
        <v>0</v>
      </c>
    </row>
    <row r="28" spans="1:7" x14ac:dyDescent="0.3">
      <c r="A28" s="1" t="s">
        <v>90</v>
      </c>
      <c r="B28" s="1" t="s">
        <v>91</v>
      </c>
      <c r="C28" s="1" t="s">
        <v>68</v>
      </c>
      <c r="D28" s="3">
        <v>46301.333333333343</v>
      </c>
      <c r="E28" s="3">
        <v>46302.666666666657</v>
      </c>
      <c r="F28" s="1" t="s">
        <v>20</v>
      </c>
      <c r="G28" s="9">
        <v>0</v>
      </c>
    </row>
    <row r="29" spans="1:7" x14ac:dyDescent="0.3">
      <c r="A29" s="1" t="s">
        <v>92</v>
      </c>
      <c r="B29" s="1" t="s">
        <v>93</v>
      </c>
      <c r="C29" s="1" t="s">
        <v>68</v>
      </c>
      <c r="D29" s="3">
        <v>46292.333333333343</v>
      </c>
      <c r="E29" s="3">
        <v>46293.666666666657</v>
      </c>
      <c r="F29" s="1" t="s">
        <v>20</v>
      </c>
      <c r="G29" s="9">
        <v>0</v>
      </c>
    </row>
    <row r="30" spans="1:7" x14ac:dyDescent="0.3">
      <c r="A30" s="1" t="s">
        <v>94</v>
      </c>
      <c r="B30" s="1" t="s">
        <v>95</v>
      </c>
      <c r="C30" s="1" t="s">
        <v>68</v>
      </c>
      <c r="D30" s="3">
        <v>46292.333333333343</v>
      </c>
      <c r="E30" s="3">
        <v>46293.666666666657</v>
      </c>
      <c r="F30" s="1" t="s">
        <v>20</v>
      </c>
      <c r="G30" s="9">
        <v>0</v>
      </c>
    </row>
    <row r="31" spans="1:7" x14ac:dyDescent="0.3">
      <c r="A31" s="1" t="s">
        <v>96</v>
      </c>
      <c r="B31" s="1" t="s">
        <v>97</v>
      </c>
      <c r="C31" s="1" t="s">
        <v>98</v>
      </c>
      <c r="D31" s="3">
        <v>46301.333333333343</v>
      </c>
      <c r="E31" s="3">
        <v>46303.666666666657</v>
      </c>
      <c r="F31" s="1" t="s">
        <v>20</v>
      </c>
      <c r="G31" s="9">
        <v>0</v>
      </c>
    </row>
    <row r="32" spans="1:7" x14ac:dyDescent="0.3">
      <c r="A32" s="1" t="s">
        <v>101</v>
      </c>
      <c r="B32" s="1" t="s">
        <v>102</v>
      </c>
      <c r="C32" s="1" t="s">
        <v>98</v>
      </c>
      <c r="D32" s="3">
        <v>46301.333333333343</v>
      </c>
      <c r="E32" s="3">
        <v>46303.666666666657</v>
      </c>
      <c r="F32" s="1" t="s">
        <v>20</v>
      </c>
      <c r="G32" s="9">
        <v>0</v>
      </c>
    </row>
    <row r="33" spans="1:7" x14ac:dyDescent="0.3">
      <c r="A33" s="1" t="s">
        <v>104</v>
      </c>
      <c r="B33" s="1" t="s">
        <v>105</v>
      </c>
      <c r="C33" s="1" t="s">
        <v>98</v>
      </c>
      <c r="D33" s="3">
        <v>46304.333333333343</v>
      </c>
      <c r="E33" s="3">
        <v>46309.666666666657</v>
      </c>
      <c r="F33" s="1" t="s">
        <v>20</v>
      </c>
      <c r="G33" s="9">
        <v>0</v>
      </c>
    </row>
    <row r="34" spans="1:7" x14ac:dyDescent="0.3">
      <c r="A34" s="1" t="s">
        <v>107</v>
      </c>
      <c r="B34" s="1" t="s">
        <v>108</v>
      </c>
      <c r="C34" s="1" t="s">
        <v>98</v>
      </c>
      <c r="D34" s="3">
        <v>46299.333333333343</v>
      </c>
      <c r="E34" s="3">
        <v>46303.666666666657</v>
      </c>
      <c r="F34" s="1" t="s">
        <v>20</v>
      </c>
      <c r="G34" s="9">
        <v>0</v>
      </c>
    </row>
    <row r="35" spans="1:7" x14ac:dyDescent="0.3">
      <c r="A35" s="1" t="s">
        <v>110</v>
      </c>
      <c r="B35" s="1" t="s">
        <v>111</v>
      </c>
      <c r="C35" s="1" t="s">
        <v>98</v>
      </c>
      <c r="D35" s="3">
        <v>46302.333333333343</v>
      </c>
      <c r="E35" s="3">
        <v>46307.666666666657</v>
      </c>
      <c r="F35" s="1" t="s">
        <v>20</v>
      </c>
      <c r="G35" s="9">
        <v>0</v>
      </c>
    </row>
    <row r="36" spans="1:7" x14ac:dyDescent="0.3">
      <c r="A36" s="1" t="s">
        <v>113</v>
      </c>
      <c r="B36" s="1" t="s">
        <v>114</v>
      </c>
      <c r="C36" s="1" t="s">
        <v>98</v>
      </c>
      <c r="D36" s="3">
        <v>46304.333333333343</v>
      </c>
      <c r="E36" s="3">
        <v>46309.666666666657</v>
      </c>
      <c r="F36" s="1" t="s">
        <v>20</v>
      </c>
      <c r="G36" s="9">
        <v>0</v>
      </c>
    </row>
    <row r="37" spans="1:7" x14ac:dyDescent="0.3">
      <c r="A37" s="1" t="s">
        <v>116</v>
      </c>
      <c r="B37" s="1" t="s">
        <v>117</v>
      </c>
      <c r="C37" s="1" t="s">
        <v>98</v>
      </c>
      <c r="D37" s="3">
        <v>46293.333333333343</v>
      </c>
      <c r="E37" s="3">
        <v>46297.666666666657</v>
      </c>
      <c r="F37" s="1" t="s">
        <v>20</v>
      </c>
      <c r="G37" s="9">
        <v>0</v>
      </c>
    </row>
    <row r="38" spans="1:7" x14ac:dyDescent="0.3">
      <c r="A38" s="1" t="s">
        <v>119</v>
      </c>
      <c r="B38" s="1" t="s">
        <v>120</v>
      </c>
      <c r="C38" s="1" t="s">
        <v>98</v>
      </c>
      <c r="D38" s="3">
        <v>46306.333333333343</v>
      </c>
      <c r="E38" s="3">
        <v>46322.666666666657</v>
      </c>
      <c r="F38" s="1" t="s">
        <v>20</v>
      </c>
      <c r="G38" s="9">
        <v>0</v>
      </c>
    </row>
    <row r="39" spans="1:7" x14ac:dyDescent="0.3">
      <c r="A39" s="1" t="s">
        <v>122</v>
      </c>
      <c r="B39" s="1" t="s">
        <v>123</v>
      </c>
      <c r="C39" s="1" t="s">
        <v>98</v>
      </c>
      <c r="D39" s="3">
        <v>46323.333333333343</v>
      </c>
      <c r="E39" s="3">
        <v>46325.666666666657</v>
      </c>
      <c r="F39" s="1" t="s">
        <v>20</v>
      </c>
      <c r="G39" s="9">
        <v>0</v>
      </c>
    </row>
    <row r="40" spans="1:7" x14ac:dyDescent="0.3">
      <c r="A40" s="1" t="s">
        <v>125</v>
      </c>
      <c r="B40" s="1" t="s">
        <v>126</v>
      </c>
      <c r="C40" s="1" t="s">
        <v>127</v>
      </c>
      <c r="D40" s="3">
        <v>46311.333333333343</v>
      </c>
      <c r="E40" s="3">
        <v>46316.666666666657</v>
      </c>
      <c r="F40" s="1" t="s">
        <v>20</v>
      </c>
      <c r="G40" s="9">
        <v>0</v>
      </c>
    </row>
    <row r="41" spans="1:7" x14ac:dyDescent="0.3">
      <c r="A41" s="1" t="s">
        <v>130</v>
      </c>
      <c r="B41" s="1" t="s">
        <v>131</v>
      </c>
      <c r="C41" s="1" t="s">
        <v>127</v>
      </c>
      <c r="D41" s="3">
        <v>46317.333333333343</v>
      </c>
      <c r="E41" s="3">
        <v>46317.666666666657</v>
      </c>
      <c r="F41" s="1" t="s">
        <v>20</v>
      </c>
      <c r="G41" s="9">
        <v>0</v>
      </c>
    </row>
    <row r="42" spans="1:7" x14ac:dyDescent="0.3">
      <c r="A42" s="1" t="s">
        <v>133</v>
      </c>
      <c r="B42" s="1" t="s">
        <v>134</v>
      </c>
      <c r="C42" s="1" t="s">
        <v>127</v>
      </c>
      <c r="D42" s="3">
        <v>46318.333333333343</v>
      </c>
      <c r="E42" s="3">
        <v>46323.666666666657</v>
      </c>
      <c r="F42" s="1" t="s">
        <v>20</v>
      </c>
      <c r="G42" s="9">
        <v>0</v>
      </c>
    </row>
    <row r="43" spans="1:7" x14ac:dyDescent="0.3">
      <c r="A43" s="1" t="s">
        <v>136</v>
      </c>
      <c r="B43" s="1" t="s">
        <v>137</v>
      </c>
      <c r="C43" s="1" t="s">
        <v>127</v>
      </c>
      <c r="D43" s="3">
        <v>46324.333333333343</v>
      </c>
      <c r="E43" s="3">
        <v>46329.666666666657</v>
      </c>
      <c r="F43" s="1" t="s">
        <v>20</v>
      </c>
      <c r="G43" s="9">
        <v>0</v>
      </c>
    </row>
    <row r="44" spans="1:7" x14ac:dyDescent="0.3">
      <c r="A44" s="1" t="s">
        <v>139</v>
      </c>
      <c r="B44" s="1" t="s">
        <v>140</v>
      </c>
      <c r="C44" s="1" t="s">
        <v>127</v>
      </c>
      <c r="D44" s="3">
        <v>46318.333333333343</v>
      </c>
      <c r="E44" s="3">
        <v>46323.666666666657</v>
      </c>
      <c r="F44" s="1" t="s">
        <v>20</v>
      </c>
      <c r="G44" s="9">
        <v>0</v>
      </c>
    </row>
    <row r="45" spans="1:7" x14ac:dyDescent="0.3">
      <c r="A45" s="1" t="s">
        <v>141</v>
      </c>
      <c r="B45" s="1" t="s">
        <v>142</v>
      </c>
      <c r="C45" s="1" t="s">
        <v>127</v>
      </c>
      <c r="D45" s="3">
        <v>46353.333333333343</v>
      </c>
      <c r="E45" s="3">
        <v>46358.666666666657</v>
      </c>
      <c r="F45" s="1" t="s">
        <v>20</v>
      </c>
      <c r="G45" s="9">
        <v>0</v>
      </c>
    </row>
    <row r="46" spans="1:7" x14ac:dyDescent="0.3">
      <c r="A46" s="1" t="s">
        <v>144</v>
      </c>
      <c r="B46" s="1" t="s">
        <v>145</v>
      </c>
      <c r="C46" s="1" t="s">
        <v>127</v>
      </c>
      <c r="D46" s="3">
        <v>46353.333333333343</v>
      </c>
      <c r="E46" s="3">
        <v>46358.666666666657</v>
      </c>
      <c r="F46" s="1" t="s">
        <v>20</v>
      </c>
      <c r="G46" s="9">
        <v>0</v>
      </c>
    </row>
    <row r="47" spans="1:7" x14ac:dyDescent="0.3">
      <c r="A47" s="1" t="s">
        <v>146</v>
      </c>
      <c r="B47" s="1" t="s">
        <v>147</v>
      </c>
      <c r="C47" s="1" t="s">
        <v>127</v>
      </c>
      <c r="D47" s="3">
        <v>46353.333333333343</v>
      </c>
      <c r="E47" s="3">
        <v>46358.666666666657</v>
      </c>
      <c r="F47" s="1" t="s">
        <v>20</v>
      </c>
      <c r="G47" s="9">
        <v>0</v>
      </c>
    </row>
    <row r="48" spans="1:7" x14ac:dyDescent="0.3">
      <c r="A48" s="1" t="s">
        <v>149</v>
      </c>
      <c r="B48" s="1" t="s">
        <v>150</v>
      </c>
      <c r="C48" s="1" t="s">
        <v>151</v>
      </c>
      <c r="D48" s="3">
        <v>46323.333333333343</v>
      </c>
      <c r="E48" s="3">
        <v>46328.666666666657</v>
      </c>
      <c r="F48" s="1" t="s">
        <v>20</v>
      </c>
      <c r="G48" s="9">
        <v>0</v>
      </c>
    </row>
    <row r="49" spans="1:7" x14ac:dyDescent="0.3">
      <c r="A49" s="1" t="s">
        <v>154</v>
      </c>
      <c r="B49" s="1" t="s">
        <v>155</v>
      </c>
      <c r="C49" s="1" t="s">
        <v>151</v>
      </c>
      <c r="D49" s="3">
        <v>46353.333333333343</v>
      </c>
      <c r="E49" s="3">
        <v>46358.666666666657</v>
      </c>
      <c r="F49" s="1" t="s">
        <v>20</v>
      </c>
      <c r="G49" s="9">
        <v>0</v>
      </c>
    </row>
    <row r="50" spans="1:7" x14ac:dyDescent="0.3">
      <c r="A50" s="1" t="s">
        <v>157</v>
      </c>
      <c r="B50" s="1" t="s">
        <v>158</v>
      </c>
      <c r="C50" s="1" t="s">
        <v>151</v>
      </c>
      <c r="D50" s="3">
        <v>46323.333333333343</v>
      </c>
      <c r="E50" s="3">
        <v>46328.666666666657</v>
      </c>
      <c r="F50" s="1" t="s">
        <v>20</v>
      </c>
      <c r="G50" s="9">
        <v>0</v>
      </c>
    </row>
    <row r="51" spans="1:7" x14ac:dyDescent="0.3">
      <c r="A51" s="1" t="s">
        <v>160</v>
      </c>
      <c r="B51" s="1" t="s">
        <v>161</v>
      </c>
      <c r="C51" s="1" t="s">
        <v>151</v>
      </c>
      <c r="D51" s="3">
        <v>46353.333333333343</v>
      </c>
      <c r="E51" s="3">
        <v>46358.666666666657</v>
      </c>
      <c r="F51" s="1" t="s">
        <v>20</v>
      </c>
      <c r="G51" s="9">
        <v>0</v>
      </c>
    </row>
    <row r="52" spans="1:7" x14ac:dyDescent="0.3">
      <c r="A52" s="1" t="s">
        <v>163</v>
      </c>
      <c r="B52" s="1" t="s">
        <v>164</v>
      </c>
      <c r="C52" s="1" t="s">
        <v>165</v>
      </c>
      <c r="D52" s="3">
        <v>46323.333333333343</v>
      </c>
      <c r="E52" s="3">
        <v>46328.666666666657</v>
      </c>
      <c r="F52" s="1" t="s">
        <v>20</v>
      </c>
      <c r="G52" s="9">
        <v>0</v>
      </c>
    </row>
    <row r="53" spans="1:7" x14ac:dyDescent="0.3">
      <c r="A53" s="1" t="s">
        <v>168</v>
      </c>
      <c r="B53" s="1" t="s">
        <v>169</v>
      </c>
      <c r="C53" s="1" t="s">
        <v>165</v>
      </c>
      <c r="D53" s="3">
        <v>46323.333333333343</v>
      </c>
      <c r="E53" s="3">
        <v>46328.666666666657</v>
      </c>
      <c r="F53" s="1" t="s">
        <v>20</v>
      </c>
      <c r="G53" s="9">
        <v>0</v>
      </c>
    </row>
    <row r="54" spans="1:7" x14ac:dyDescent="0.3">
      <c r="A54" s="1" t="s">
        <v>171</v>
      </c>
      <c r="B54" s="1" t="s">
        <v>172</v>
      </c>
      <c r="C54" s="1" t="s">
        <v>165</v>
      </c>
      <c r="D54" s="3">
        <v>46323.333333333343</v>
      </c>
      <c r="E54" s="3">
        <v>46328.666666666657</v>
      </c>
      <c r="F54" s="1" t="s">
        <v>20</v>
      </c>
      <c r="G54" s="9">
        <v>0</v>
      </c>
    </row>
    <row r="55" spans="1:7" x14ac:dyDescent="0.3">
      <c r="A55" s="1" t="s">
        <v>174</v>
      </c>
      <c r="B55" s="1" t="s">
        <v>175</v>
      </c>
      <c r="C55" s="1" t="s">
        <v>165</v>
      </c>
      <c r="D55" s="3">
        <v>46292.333333333343</v>
      </c>
      <c r="E55" s="3">
        <v>46296.666666666657</v>
      </c>
      <c r="F55" s="1" t="s">
        <v>20</v>
      </c>
      <c r="G55" s="9">
        <v>0</v>
      </c>
    </row>
    <row r="56" spans="1:7" x14ac:dyDescent="0.3">
      <c r="A56" s="1" t="s">
        <v>176</v>
      </c>
      <c r="B56" s="1" t="s">
        <v>177</v>
      </c>
      <c r="C56" s="1" t="s">
        <v>178</v>
      </c>
      <c r="D56" s="3">
        <v>46311.333333333343</v>
      </c>
      <c r="E56" s="3">
        <v>46313.666666666657</v>
      </c>
      <c r="F56" s="1" t="s">
        <v>20</v>
      </c>
      <c r="G56" s="9">
        <v>0</v>
      </c>
    </row>
    <row r="57" spans="1:7" x14ac:dyDescent="0.3">
      <c r="A57" s="1" t="s">
        <v>180</v>
      </c>
      <c r="B57" s="1" t="s">
        <v>181</v>
      </c>
      <c r="C57" s="1" t="s">
        <v>178</v>
      </c>
      <c r="D57" s="3">
        <v>46311.333333333343</v>
      </c>
      <c r="E57" s="3">
        <v>46313.666666666657</v>
      </c>
      <c r="F57" s="1" t="s">
        <v>20</v>
      </c>
      <c r="G57" s="9">
        <v>0</v>
      </c>
    </row>
    <row r="58" spans="1:7" x14ac:dyDescent="0.3">
      <c r="A58" s="1" t="s">
        <v>182</v>
      </c>
      <c r="B58" s="1" t="s">
        <v>183</v>
      </c>
      <c r="C58" s="1" t="s">
        <v>178</v>
      </c>
      <c r="D58" s="3">
        <v>46350.333333333343</v>
      </c>
      <c r="E58" s="3">
        <v>46351.666666666657</v>
      </c>
      <c r="F58" s="1" t="s">
        <v>20</v>
      </c>
      <c r="G58" s="9">
        <v>0</v>
      </c>
    </row>
    <row r="59" spans="1:7" x14ac:dyDescent="0.3">
      <c r="A59" s="1" t="s">
        <v>185</v>
      </c>
      <c r="B59" s="1" t="s">
        <v>186</v>
      </c>
      <c r="C59" s="1" t="s">
        <v>178</v>
      </c>
      <c r="D59" s="3">
        <v>46363.333333333343</v>
      </c>
      <c r="E59" s="3">
        <v>46364.666666666657</v>
      </c>
      <c r="F59" s="1" t="s">
        <v>20</v>
      </c>
      <c r="G59" s="9">
        <v>0</v>
      </c>
    </row>
    <row r="60" spans="1:7" x14ac:dyDescent="0.3">
      <c r="A60" s="1" t="s">
        <v>188</v>
      </c>
      <c r="B60" s="1" t="s">
        <v>189</v>
      </c>
      <c r="C60" s="1" t="s">
        <v>178</v>
      </c>
      <c r="D60" s="3">
        <v>46302.333333333343</v>
      </c>
      <c r="E60" s="3">
        <v>46303.666666666657</v>
      </c>
      <c r="F60" s="1" t="s">
        <v>20</v>
      </c>
      <c r="G60" s="9">
        <v>0</v>
      </c>
    </row>
    <row r="61" spans="1:7" x14ac:dyDescent="0.3">
      <c r="A61" s="1" t="s">
        <v>191</v>
      </c>
      <c r="B61" s="1" t="s">
        <v>192</v>
      </c>
      <c r="C61" s="1" t="s">
        <v>178</v>
      </c>
      <c r="D61" s="3">
        <v>46309.333333333343</v>
      </c>
      <c r="E61" s="3">
        <v>46310.666666666657</v>
      </c>
      <c r="F61" s="1" t="s">
        <v>20</v>
      </c>
      <c r="G61" s="9">
        <v>0</v>
      </c>
    </row>
    <row r="62" spans="1:7" x14ac:dyDescent="0.3">
      <c r="A62" s="1" t="s">
        <v>194</v>
      </c>
      <c r="B62" s="1" t="s">
        <v>195</v>
      </c>
      <c r="C62" s="1" t="s">
        <v>178</v>
      </c>
      <c r="D62" s="3">
        <v>46332.333333333343</v>
      </c>
      <c r="E62" s="3">
        <v>46334.666666666657</v>
      </c>
      <c r="F62" s="1" t="s">
        <v>20</v>
      </c>
      <c r="G62" s="9">
        <v>0</v>
      </c>
    </row>
    <row r="63" spans="1:7" x14ac:dyDescent="0.3">
      <c r="A63" s="1" t="s">
        <v>197</v>
      </c>
      <c r="B63" s="1" t="s">
        <v>198</v>
      </c>
      <c r="C63" s="1" t="s">
        <v>178</v>
      </c>
      <c r="D63" s="3">
        <v>46310.333333333343</v>
      </c>
      <c r="E63" s="3">
        <v>46313.666666666657</v>
      </c>
      <c r="F63" s="1" t="s">
        <v>20</v>
      </c>
      <c r="G63" s="9">
        <v>0</v>
      </c>
    </row>
    <row r="64" spans="1:7" x14ac:dyDescent="0.3">
      <c r="A64" s="1" t="s">
        <v>200</v>
      </c>
      <c r="B64" s="1" t="s">
        <v>201</v>
      </c>
      <c r="C64" s="1" t="s">
        <v>202</v>
      </c>
      <c r="D64" s="3">
        <v>46328.333333333343</v>
      </c>
      <c r="E64" s="3">
        <v>46329.666666666657</v>
      </c>
      <c r="F64" s="1" t="s">
        <v>20</v>
      </c>
      <c r="G64" s="9">
        <v>0</v>
      </c>
    </row>
    <row r="65" spans="1:7" x14ac:dyDescent="0.3">
      <c r="A65" s="1" t="s">
        <v>205</v>
      </c>
      <c r="B65" s="1" t="s">
        <v>206</v>
      </c>
      <c r="C65" s="1" t="s">
        <v>202</v>
      </c>
      <c r="D65" s="3">
        <v>46328.333333333343</v>
      </c>
      <c r="E65" s="3">
        <v>46329.666666666657</v>
      </c>
      <c r="F65" s="1" t="s">
        <v>20</v>
      </c>
      <c r="G65" s="9">
        <v>0</v>
      </c>
    </row>
    <row r="66" spans="1:7" x14ac:dyDescent="0.3">
      <c r="A66" s="1" t="s">
        <v>207</v>
      </c>
      <c r="B66" s="1" t="s">
        <v>208</v>
      </c>
      <c r="C66" s="1" t="s">
        <v>202</v>
      </c>
      <c r="D66" s="3">
        <v>46315.333333333343</v>
      </c>
      <c r="E66" s="3">
        <v>46316.666666666657</v>
      </c>
      <c r="F66" s="1" t="s">
        <v>20</v>
      </c>
      <c r="G66" s="9">
        <v>0</v>
      </c>
    </row>
    <row r="67" spans="1:7" x14ac:dyDescent="0.3">
      <c r="A67" s="1" t="s">
        <v>210</v>
      </c>
      <c r="B67" s="1" t="s">
        <v>211</v>
      </c>
      <c r="C67" s="1" t="s">
        <v>202</v>
      </c>
      <c r="D67" s="3">
        <v>46320.333333333343</v>
      </c>
      <c r="E67" s="3">
        <v>46321.666666666657</v>
      </c>
      <c r="F67" s="1" t="s">
        <v>20</v>
      </c>
      <c r="G67" s="9">
        <v>0</v>
      </c>
    </row>
    <row r="68" spans="1:7" x14ac:dyDescent="0.3">
      <c r="A68" s="1" t="s">
        <v>213</v>
      </c>
      <c r="B68" s="1" t="s">
        <v>74</v>
      </c>
      <c r="C68" s="1" t="s">
        <v>202</v>
      </c>
      <c r="D68" s="3">
        <v>46331.333333333343</v>
      </c>
      <c r="E68" s="3">
        <v>46332.666666666657</v>
      </c>
      <c r="F68" s="1" t="s">
        <v>20</v>
      </c>
      <c r="G68" s="9">
        <v>0</v>
      </c>
    </row>
    <row r="69" spans="1:7" x14ac:dyDescent="0.3">
      <c r="A69" s="1" t="s">
        <v>215</v>
      </c>
      <c r="B69" s="1" t="s">
        <v>216</v>
      </c>
      <c r="C69" s="1" t="s">
        <v>202</v>
      </c>
      <c r="D69" s="3">
        <v>46320.333333333343</v>
      </c>
      <c r="E69" s="3">
        <v>46321.666666666657</v>
      </c>
      <c r="F69" s="1" t="s">
        <v>20</v>
      </c>
      <c r="G69" s="9">
        <v>0</v>
      </c>
    </row>
    <row r="70" spans="1:7" x14ac:dyDescent="0.3">
      <c r="A70" s="1" t="s">
        <v>218</v>
      </c>
      <c r="B70" s="1" t="s">
        <v>219</v>
      </c>
      <c r="C70" s="1" t="s">
        <v>220</v>
      </c>
      <c r="D70" s="3">
        <v>46349.333333333343</v>
      </c>
      <c r="E70" s="3">
        <v>46371.666666666657</v>
      </c>
      <c r="F70" s="1" t="s">
        <v>20</v>
      </c>
      <c r="G70" s="9">
        <v>0</v>
      </c>
    </row>
    <row r="71" spans="1:7" x14ac:dyDescent="0.3">
      <c r="A71" s="1" t="s">
        <v>223</v>
      </c>
      <c r="B71" s="1" t="s">
        <v>224</v>
      </c>
      <c r="C71" s="1" t="s">
        <v>220</v>
      </c>
      <c r="D71" s="3">
        <v>46363.333333333343</v>
      </c>
      <c r="E71" s="3">
        <v>46373.666666666657</v>
      </c>
      <c r="F71" s="1" t="s">
        <v>20</v>
      </c>
      <c r="G71" s="9">
        <v>0</v>
      </c>
    </row>
    <row r="72" spans="1:7" x14ac:dyDescent="0.3">
      <c r="A72" s="1" t="s">
        <v>226</v>
      </c>
      <c r="B72" s="1" t="s">
        <v>227</v>
      </c>
      <c r="C72" s="1" t="s">
        <v>228</v>
      </c>
      <c r="D72" s="3">
        <v>46314.333333333343</v>
      </c>
      <c r="E72" s="3">
        <v>46316.666666666657</v>
      </c>
      <c r="F72" s="1" t="s">
        <v>20</v>
      </c>
      <c r="G72" s="9">
        <v>0</v>
      </c>
    </row>
    <row r="73" spans="1:7" x14ac:dyDescent="0.3">
      <c r="A73" s="1" t="s">
        <v>231</v>
      </c>
      <c r="B73" s="1" t="s">
        <v>232</v>
      </c>
      <c r="C73" s="1" t="s">
        <v>228</v>
      </c>
      <c r="D73" s="3">
        <v>46341.333333333343</v>
      </c>
      <c r="E73" s="3">
        <v>46349.666666666657</v>
      </c>
      <c r="F73" s="1" t="s">
        <v>20</v>
      </c>
      <c r="G73" s="9">
        <v>0</v>
      </c>
    </row>
    <row r="74" spans="1:7" x14ac:dyDescent="0.3">
      <c r="A74" s="1" t="s">
        <v>234</v>
      </c>
      <c r="B74" s="1" t="s">
        <v>235</v>
      </c>
      <c r="C74" s="1" t="s">
        <v>228</v>
      </c>
      <c r="D74" s="3">
        <v>46314.333333333343</v>
      </c>
      <c r="E74" s="3">
        <v>46316.666666666657</v>
      </c>
      <c r="F74" s="1" t="s">
        <v>20</v>
      </c>
      <c r="G74" s="9">
        <v>0</v>
      </c>
    </row>
    <row r="75" spans="1:7" x14ac:dyDescent="0.3">
      <c r="A75" s="1" t="s">
        <v>236</v>
      </c>
      <c r="B75" s="1" t="s">
        <v>237</v>
      </c>
      <c r="C75" s="1" t="s">
        <v>228</v>
      </c>
      <c r="D75" s="3">
        <v>46341.333333333343</v>
      </c>
      <c r="E75" s="3">
        <v>46349.666666666657</v>
      </c>
      <c r="F75" s="1" t="s">
        <v>20</v>
      </c>
      <c r="G75" s="9">
        <v>0</v>
      </c>
    </row>
    <row r="76" spans="1:7" x14ac:dyDescent="0.3">
      <c r="A76" s="1" t="s">
        <v>238</v>
      </c>
      <c r="B76" s="1" t="s">
        <v>239</v>
      </c>
      <c r="C76" s="1" t="s">
        <v>228</v>
      </c>
      <c r="D76" s="3">
        <v>46365.333333333343</v>
      </c>
      <c r="E76" s="3">
        <v>46367.666666666657</v>
      </c>
      <c r="F76" s="1" t="s">
        <v>20</v>
      </c>
      <c r="G76" s="9">
        <v>0</v>
      </c>
    </row>
    <row r="77" spans="1:7" x14ac:dyDescent="0.3">
      <c r="A77" s="1" t="s">
        <v>240</v>
      </c>
      <c r="B77" s="1" t="s">
        <v>241</v>
      </c>
      <c r="C77" s="1" t="s">
        <v>242</v>
      </c>
      <c r="D77" s="3">
        <v>46317.333333333343</v>
      </c>
      <c r="E77" s="3">
        <v>46322.666666666657</v>
      </c>
      <c r="F77" s="1" t="s">
        <v>20</v>
      </c>
      <c r="G77" s="9">
        <v>0</v>
      </c>
    </row>
    <row r="78" spans="1:7" x14ac:dyDescent="0.3">
      <c r="A78" s="1" t="s">
        <v>245</v>
      </c>
      <c r="B78" s="1" t="s">
        <v>246</v>
      </c>
      <c r="C78" s="1" t="s">
        <v>242</v>
      </c>
      <c r="D78" s="3">
        <v>46317.333333333343</v>
      </c>
      <c r="E78" s="3">
        <v>46322.666666666657</v>
      </c>
      <c r="F78" s="1" t="s">
        <v>20</v>
      </c>
      <c r="G78" s="9">
        <v>0</v>
      </c>
    </row>
    <row r="79" spans="1:7" x14ac:dyDescent="0.3">
      <c r="A79" s="1" t="s">
        <v>247</v>
      </c>
      <c r="B79" s="1" t="s">
        <v>248</v>
      </c>
      <c r="C79" s="1" t="s">
        <v>242</v>
      </c>
      <c r="D79" s="3">
        <v>46350.333333333343</v>
      </c>
      <c r="E79" s="3">
        <v>46355.666666666657</v>
      </c>
      <c r="F79" s="1" t="s">
        <v>20</v>
      </c>
      <c r="G79" s="9">
        <v>0</v>
      </c>
    </row>
    <row r="80" spans="1:7" x14ac:dyDescent="0.3">
      <c r="A80" s="1" t="s">
        <v>250</v>
      </c>
      <c r="B80" s="1" t="s">
        <v>251</v>
      </c>
      <c r="C80" s="1" t="s">
        <v>242</v>
      </c>
      <c r="D80" s="3">
        <v>46350.333333333343</v>
      </c>
      <c r="E80" s="3">
        <v>46355.666666666657</v>
      </c>
      <c r="F80" s="1" t="s">
        <v>20</v>
      </c>
      <c r="G80" s="9">
        <v>0</v>
      </c>
    </row>
    <row r="81" spans="1:7" x14ac:dyDescent="0.3">
      <c r="A81" s="1" t="s">
        <v>253</v>
      </c>
      <c r="B81" s="1" t="s">
        <v>254</v>
      </c>
      <c r="C81" s="1" t="s">
        <v>242</v>
      </c>
      <c r="D81" s="3">
        <v>46350.333333333343</v>
      </c>
      <c r="E81" s="3">
        <v>46355.666666666657</v>
      </c>
      <c r="F81" s="1" t="s">
        <v>20</v>
      </c>
      <c r="G81" s="9">
        <v>0</v>
      </c>
    </row>
    <row r="82" spans="1:7" x14ac:dyDescent="0.3">
      <c r="A82" s="1" t="s">
        <v>256</v>
      </c>
      <c r="B82" s="1" t="s">
        <v>257</v>
      </c>
      <c r="C82" s="1" t="s">
        <v>258</v>
      </c>
      <c r="D82" s="3">
        <v>46356.333333333343</v>
      </c>
      <c r="E82" s="3">
        <v>46360.666666666657</v>
      </c>
      <c r="F82" s="1" t="s">
        <v>20</v>
      </c>
      <c r="G82" s="9">
        <v>0</v>
      </c>
    </row>
    <row r="83" spans="1:7" x14ac:dyDescent="0.3">
      <c r="A83" s="1" t="s">
        <v>261</v>
      </c>
      <c r="B83" s="1" t="s">
        <v>262</v>
      </c>
      <c r="C83" s="1" t="s">
        <v>258</v>
      </c>
      <c r="D83" s="3">
        <v>46356.333333333343</v>
      </c>
      <c r="E83" s="3">
        <v>46360.666666666657</v>
      </c>
      <c r="F83" s="1" t="s">
        <v>20</v>
      </c>
      <c r="G83" s="9">
        <v>0</v>
      </c>
    </row>
    <row r="84" spans="1:7" x14ac:dyDescent="0.3">
      <c r="A84" s="1" t="s">
        <v>264</v>
      </c>
      <c r="B84" s="1" t="s">
        <v>265</v>
      </c>
      <c r="C84" s="1" t="s">
        <v>266</v>
      </c>
      <c r="D84" s="3">
        <v>46374.333333333343</v>
      </c>
      <c r="E84" s="3">
        <v>46381.666666666657</v>
      </c>
      <c r="F84" s="1" t="s">
        <v>20</v>
      </c>
      <c r="G84" s="9">
        <v>0</v>
      </c>
    </row>
    <row r="85" spans="1:7" x14ac:dyDescent="0.3">
      <c r="A85" s="1" t="s">
        <v>269</v>
      </c>
      <c r="B85" s="1" t="s">
        <v>270</v>
      </c>
      <c r="C85" s="1" t="s">
        <v>271</v>
      </c>
      <c r="D85" s="3">
        <v>46383.333333333343</v>
      </c>
      <c r="E85" s="3">
        <v>46384.666666666657</v>
      </c>
      <c r="F85" s="1" t="s">
        <v>20</v>
      </c>
      <c r="G85" s="9">
        <v>0</v>
      </c>
    </row>
  </sheetData>
  <mergeCells count="1">
    <mergeCell ref="A1:K1"/>
  </mergeCells>
  <conditionalFormatting sqref="H4:H86">
    <cfRule type="expression" dxfId="16" priority="1">
      <formula>WEEKDAY(H$3,2)&gt;5</formula>
    </cfRule>
  </conditionalFormatting>
  <conditionalFormatting sqref="H3:CV86">
    <cfRule type="expression" dxfId="15" priority="30">
      <formula>H$3=TODAY()</formula>
    </cfRule>
  </conditionalFormatting>
  <conditionalFormatting sqref="H4:CV86">
    <cfRule type="expression" dxfId="14" priority="28">
      <formula>AND(H$3&gt;=$D4,H$3&lt;=$E4,$F4="Completed",OR($B$2="All Statuses",$B$2=$F4),OR($D$2="All WBS",$D$2=$C4))</formula>
    </cfRule>
    <cfRule type="expression" dxfId="13" priority="29">
      <formula>AND(H$3&gt;=$D4,H$3&lt;=$E4,$F4&lt;&gt;"Completed",OR($B$2="All Statuses",$B$2=$F4),OR($D$2="All WBS",$D$2=$C4))</formula>
    </cfRule>
  </conditionalFormatting>
  <conditionalFormatting sqref="N4:O86">
    <cfRule type="expression" dxfId="12" priority="2">
      <formula>WEEKDAY(N$3,2)&gt;5</formula>
    </cfRule>
  </conditionalFormatting>
  <conditionalFormatting sqref="U4:V86">
    <cfRule type="expression" dxfId="11" priority="4">
      <formula>WEEKDAY(U$3,2)&gt;5</formula>
    </cfRule>
  </conditionalFormatting>
  <conditionalFormatting sqref="AB4:AC86">
    <cfRule type="expression" dxfId="10" priority="6">
      <formula>WEEKDAY(AB$3,2)&gt;5</formula>
    </cfRule>
  </conditionalFormatting>
  <conditionalFormatting sqref="AI4:AJ86">
    <cfRule type="expression" dxfId="9" priority="8">
      <formula>WEEKDAY(AI$3,2)&gt;5</formula>
    </cfRule>
  </conditionalFormatting>
  <conditionalFormatting sqref="AP4:AQ86">
    <cfRule type="expression" dxfId="8" priority="10">
      <formula>WEEKDAY(AP$3,2)&gt;5</formula>
    </cfRule>
  </conditionalFormatting>
  <conditionalFormatting sqref="AW4:AX86">
    <cfRule type="expression" dxfId="7" priority="12">
      <formula>WEEKDAY(AW$3,2)&gt;5</formula>
    </cfRule>
  </conditionalFormatting>
  <conditionalFormatting sqref="BD4:BE86">
    <cfRule type="expression" dxfId="6" priority="14">
      <formula>WEEKDAY(BD$3,2)&gt;5</formula>
    </cfRule>
  </conditionalFormatting>
  <conditionalFormatting sqref="BK4:BL86">
    <cfRule type="expression" dxfId="5" priority="16">
      <formula>WEEKDAY(BK$3,2)&gt;5</formula>
    </cfRule>
  </conditionalFormatting>
  <conditionalFormatting sqref="BR4:BS86">
    <cfRule type="expression" dxfId="4" priority="18">
      <formula>WEEKDAY(BR$3,2)&gt;5</formula>
    </cfRule>
  </conditionalFormatting>
  <conditionalFormatting sqref="BY4:BZ86">
    <cfRule type="expression" dxfId="3" priority="20">
      <formula>WEEKDAY(BY$3,2)&gt;5</formula>
    </cfRule>
  </conditionalFormatting>
  <conditionalFormatting sqref="CF4:CG86">
    <cfRule type="expression" dxfId="2" priority="22">
      <formula>WEEKDAY(CF$3,2)&gt;5</formula>
    </cfRule>
  </conditionalFormatting>
  <conditionalFormatting sqref="CM4:CN86">
    <cfRule type="expression" dxfId="1" priority="24">
      <formula>WEEKDAY(CM$3,2)&gt;5</formula>
    </cfRule>
  </conditionalFormatting>
  <conditionalFormatting sqref="CT4:CU86">
    <cfRule type="expression" dxfId="0" priority="26">
      <formula>WEEKDAY(CT$3,2)&gt;5</formula>
    </cfRule>
  </conditionalFormatting>
  <dataValidations count="1">
    <dataValidation type="list" allowBlank="1" showInputMessage="1" showErrorMessage="1" sqref="B2" xr:uid="{00000000-0002-0000-0200-000000000000}">
      <formula1>"All Statuses,Not Started,In Progress,Completed,On Hold"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_Lists!$A$1:$A$17</xm:f>
          </x14:formula1>
          <xm:sqref>D2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7"/>
  <sheetViews>
    <sheetView workbookViewId="0"/>
  </sheetViews>
  <sheetFormatPr defaultRowHeight="14.4" x14ac:dyDescent="0.3"/>
  <cols>
    <col min="1" max="1" width="20.6640625" customWidth="1"/>
  </cols>
  <sheetData>
    <row r="1" spans="1:1" x14ac:dyDescent="0.3">
      <c r="A1" t="s">
        <v>293</v>
      </c>
    </row>
    <row r="2" spans="1:1" x14ac:dyDescent="0.3">
      <c r="A2" t="s">
        <v>18</v>
      </c>
    </row>
    <row r="3" spans="1:1" x14ac:dyDescent="0.3">
      <c r="A3" t="s">
        <v>228</v>
      </c>
    </row>
    <row r="4" spans="1:1" x14ac:dyDescent="0.3">
      <c r="A4" t="s">
        <v>242</v>
      </c>
    </row>
    <row r="5" spans="1:1" x14ac:dyDescent="0.3">
      <c r="A5" t="s">
        <v>258</v>
      </c>
    </row>
    <row r="6" spans="1:1" x14ac:dyDescent="0.3">
      <c r="A6" t="s">
        <v>266</v>
      </c>
    </row>
    <row r="7" spans="1:1" x14ac:dyDescent="0.3">
      <c r="A7" t="s">
        <v>271</v>
      </c>
    </row>
    <row r="8" spans="1:1" x14ac:dyDescent="0.3">
      <c r="A8" t="s">
        <v>46</v>
      </c>
    </row>
    <row r="9" spans="1:1" x14ac:dyDescent="0.3">
      <c r="A9" t="s">
        <v>57</v>
      </c>
    </row>
    <row r="10" spans="1:1" x14ac:dyDescent="0.3">
      <c r="A10" t="s">
        <v>68</v>
      </c>
    </row>
    <row r="11" spans="1:1" x14ac:dyDescent="0.3">
      <c r="A11" t="s">
        <v>98</v>
      </c>
    </row>
    <row r="12" spans="1:1" x14ac:dyDescent="0.3">
      <c r="A12" t="s">
        <v>127</v>
      </c>
    </row>
    <row r="13" spans="1:1" x14ac:dyDescent="0.3">
      <c r="A13" t="s">
        <v>151</v>
      </c>
    </row>
    <row r="14" spans="1:1" x14ac:dyDescent="0.3">
      <c r="A14" t="s">
        <v>165</v>
      </c>
    </row>
    <row r="15" spans="1:1" x14ac:dyDescent="0.3">
      <c r="A15" t="s">
        <v>178</v>
      </c>
    </row>
    <row r="16" spans="1:1" x14ac:dyDescent="0.3">
      <c r="A16" t="s">
        <v>202</v>
      </c>
    </row>
    <row r="17" spans="1:1" x14ac:dyDescent="0.3">
      <c r="A17" t="s">
        <v>220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showGridLines="0" tabSelected="1" workbookViewId="0">
      <pane ySplit="3" topLeftCell="A4" activePane="bottomLeft" state="frozen"/>
      <selection pane="bottomLeft" activeCell="H6" sqref="H6"/>
    </sheetView>
  </sheetViews>
  <sheetFormatPr defaultRowHeight="14.4" x14ac:dyDescent="0.3"/>
  <cols>
    <col min="1" max="2" width="15.6640625" customWidth="1"/>
    <col min="3" max="3" width="20.6640625" customWidth="1"/>
    <col min="4" max="5" width="45.6640625" customWidth="1"/>
    <col min="6" max="6" width="10.6640625" customWidth="1"/>
  </cols>
  <sheetData>
    <row r="1" spans="1:6" ht="23.4" x14ac:dyDescent="0.3">
      <c r="A1" s="16" t="s">
        <v>298</v>
      </c>
      <c r="B1" s="16"/>
      <c r="C1" s="16"/>
      <c r="D1" s="16"/>
      <c r="E1" s="16"/>
      <c r="F1" s="16"/>
    </row>
    <row r="3" spans="1:6" x14ac:dyDescent="0.3">
      <c r="A3" t="s">
        <v>299</v>
      </c>
      <c r="B3" t="s">
        <v>300</v>
      </c>
      <c r="C3" t="s">
        <v>3</v>
      </c>
      <c r="D3" t="s">
        <v>301</v>
      </c>
      <c r="E3" t="s">
        <v>302</v>
      </c>
      <c r="F3" t="s">
        <v>303</v>
      </c>
    </row>
    <row r="4" spans="1:6" x14ac:dyDescent="0.3">
      <c r="A4" s="1" t="s">
        <v>304</v>
      </c>
      <c r="B4" s="1" t="s">
        <v>305</v>
      </c>
      <c r="C4" s="1" t="s">
        <v>306</v>
      </c>
      <c r="D4" s="1" t="s">
        <v>307</v>
      </c>
      <c r="E4" s="1"/>
      <c r="F4" s="1" t="s">
        <v>308</v>
      </c>
    </row>
    <row r="5" spans="1:6" x14ac:dyDescent="0.3">
      <c r="A5" s="1" t="s">
        <v>309</v>
      </c>
      <c r="B5" s="1" t="s">
        <v>304</v>
      </c>
      <c r="C5" s="1" t="s">
        <v>18</v>
      </c>
      <c r="D5" s="1" t="s">
        <v>310</v>
      </c>
      <c r="E5" s="1" t="s">
        <v>307</v>
      </c>
      <c r="F5" s="1" t="s">
        <v>311</v>
      </c>
    </row>
    <row r="6" spans="1:6" x14ac:dyDescent="0.3">
      <c r="A6" s="1" t="s">
        <v>312</v>
      </c>
      <c r="B6" s="1" t="s">
        <v>304</v>
      </c>
      <c r="C6" s="1" t="s">
        <v>46</v>
      </c>
      <c r="D6" s="1" t="s">
        <v>17</v>
      </c>
      <c r="E6" s="1" t="s">
        <v>307</v>
      </c>
      <c r="F6" s="1" t="s">
        <v>313</v>
      </c>
    </row>
    <row r="7" spans="1:6" x14ac:dyDescent="0.3">
      <c r="A7" s="1" t="s">
        <v>314</v>
      </c>
      <c r="B7" s="1" t="s">
        <v>304</v>
      </c>
      <c r="C7" s="1" t="s">
        <v>57</v>
      </c>
      <c r="D7" s="1" t="s">
        <v>22</v>
      </c>
      <c r="E7" s="1" t="s">
        <v>307</v>
      </c>
      <c r="F7" s="1" t="s">
        <v>315</v>
      </c>
    </row>
    <row r="8" spans="1:6" x14ac:dyDescent="0.3">
      <c r="A8" s="1" t="s">
        <v>316</v>
      </c>
      <c r="B8" s="1" t="s">
        <v>304</v>
      </c>
      <c r="C8" s="1" t="s">
        <v>317</v>
      </c>
      <c r="D8" s="1" t="s">
        <v>25</v>
      </c>
      <c r="E8" s="1" t="s">
        <v>307</v>
      </c>
      <c r="F8" s="1" t="s">
        <v>318</v>
      </c>
    </row>
    <row r="9" spans="1:6" x14ac:dyDescent="0.3">
      <c r="A9" s="1" t="s">
        <v>319</v>
      </c>
      <c r="B9" s="1" t="s">
        <v>304</v>
      </c>
      <c r="C9" s="1" t="s">
        <v>320</v>
      </c>
      <c r="D9" s="1" t="s">
        <v>28</v>
      </c>
      <c r="E9" s="1" t="s">
        <v>307</v>
      </c>
      <c r="F9" s="1" t="s">
        <v>321</v>
      </c>
    </row>
    <row r="10" spans="1:6" x14ac:dyDescent="0.3">
      <c r="A10" s="1" t="s">
        <v>322</v>
      </c>
      <c r="B10" s="1" t="s">
        <v>304</v>
      </c>
      <c r="C10" s="1" t="s">
        <v>178</v>
      </c>
      <c r="D10" s="1" t="s">
        <v>31</v>
      </c>
      <c r="E10" s="1" t="s">
        <v>307</v>
      </c>
      <c r="F10" s="1" t="s">
        <v>308</v>
      </c>
    </row>
    <row r="11" spans="1:6" x14ac:dyDescent="0.3">
      <c r="A11" s="1" t="s">
        <v>323</v>
      </c>
      <c r="B11" s="1" t="s">
        <v>304</v>
      </c>
      <c r="C11" s="1" t="s">
        <v>202</v>
      </c>
      <c r="D11" s="1" t="s">
        <v>34</v>
      </c>
      <c r="E11" s="1" t="s">
        <v>307</v>
      </c>
      <c r="F11" s="1" t="s">
        <v>324</v>
      </c>
    </row>
    <row r="12" spans="1:6" x14ac:dyDescent="0.3">
      <c r="A12" s="1" t="s">
        <v>325</v>
      </c>
      <c r="B12" s="1" t="s">
        <v>304</v>
      </c>
      <c r="C12" s="1" t="s">
        <v>220</v>
      </c>
      <c r="D12" s="1" t="s">
        <v>36</v>
      </c>
      <c r="E12" s="1" t="s">
        <v>307</v>
      </c>
      <c r="F12" s="1" t="s">
        <v>326</v>
      </c>
    </row>
    <row r="13" spans="1:6" x14ac:dyDescent="0.3">
      <c r="A13" s="1" t="s">
        <v>327</v>
      </c>
      <c r="B13" s="1" t="s">
        <v>304</v>
      </c>
      <c r="C13" s="1" t="s">
        <v>328</v>
      </c>
      <c r="D13" s="1" t="s">
        <v>39</v>
      </c>
      <c r="E13" s="1" t="s">
        <v>307</v>
      </c>
      <c r="F13" s="1" t="s">
        <v>329</v>
      </c>
    </row>
    <row r="14" spans="1:6" x14ac:dyDescent="0.3">
      <c r="A14" s="1" t="s">
        <v>330</v>
      </c>
      <c r="B14" s="1" t="s">
        <v>304</v>
      </c>
      <c r="C14" s="1" t="s">
        <v>271</v>
      </c>
      <c r="D14" s="1" t="s">
        <v>42</v>
      </c>
      <c r="E14" s="1" t="s">
        <v>307</v>
      </c>
      <c r="F14" s="1" t="s">
        <v>331</v>
      </c>
    </row>
    <row r="15" spans="1:6" x14ac:dyDescent="0.3">
      <c r="A15" s="1" t="s">
        <v>332</v>
      </c>
      <c r="B15" s="1" t="s">
        <v>319</v>
      </c>
      <c r="C15" s="1" t="s">
        <v>127</v>
      </c>
      <c r="D15" s="1" t="s">
        <v>333</v>
      </c>
      <c r="E15" s="1" t="s">
        <v>28</v>
      </c>
      <c r="F15" s="1" t="s">
        <v>311</v>
      </c>
    </row>
    <row r="16" spans="1:6" x14ac:dyDescent="0.3">
      <c r="A16" s="1" t="s">
        <v>334</v>
      </c>
      <c r="B16" s="1" t="s">
        <v>319</v>
      </c>
      <c r="C16" s="1" t="s">
        <v>151</v>
      </c>
      <c r="D16" s="1" t="s">
        <v>335</v>
      </c>
      <c r="E16" s="1" t="s">
        <v>28</v>
      </c>
      <c r="F16" s="1" t="s">
        <v>313</v>
      </c>
    </row>
    <row r="17" spans="1:6" x14ac:dyDescent="0.3">
      <c r="A17" s="1" t="s">
        <v>336</v>
      </c>
      <c r="B17" s="1" t="s">
        <v>319</v>
      </c>
      <c r="C17" s="1" t="s">
        <v>165</v>
      </c>
      <c r="D17" s="1" t="s">
        <v>337</v>
      </c>
      <c r="E17" s="1" t="s">
        <v>28</v>
      </c>
      <c r="F17" s="1" t="s">
        <v>315</v>
      </c>
    </row>
    <row r="18" spans="1:6" x14ac:dyDescent="0.3">
      <c r="A18" s="1" t="s">
        <v>338</v>
      </c>
      <c r="B18" s="1" t="s">
        <v>316</v>
      </c>
      <c r="C18" s="1" t="s">
        <v>68</v>
      </c>
      <c r="D18" s="1" t="s">
        <v>339</v>
      </c>
      <c r="E18" s="1" t="s">
        <v>25</v>
      </c>
      <c r="F18" s="1" t="s">
        <v>311</v>
      </c>
    </row>
    <row r="19" spans="1:6" x14ac:dyDescent="0.3">
      <c r="A19" s="1" t="s">
        <v>340</v>
      </c>
      <c r="B19" s="1" t="s">
        <v>316</v>
      </c>
      <c r="C19" s="1" t="s">
        <v>98</v>
      </c>
      <c r="D19" s="1" t="s">
        <v>341</v>
      </c>
      <c r="E19" s="1" t="s">
        <v>25</v>
      </c>
      <c r="F19" s="1" t="s">
        <v>315</v>
      </c>
    </row>
    <row r="20" spans="1:6" x14ac:dyDescent="0.3">
      <c r="A20" s="1" t="s">
        <v>342</v>
      </c>
      <c r="B20" s="1" t="s">
        <v>327</v>
      </c>
      <c r="C20" s="1" t="s">
        <v>228</v>
      </c>
      <c r="D20" s="1" t="s">
        <v>343</v>
      </c>
      <c r="E20" s="1" t="s">
        <v>39</v>
      </c>
      <c r="F20" s="1" t="s">
        <v>311</v>
      </c>
    </row>
    <row r="21" spans="1:6" x14ac:dyDescent="0.3">
      <c r="A21" s="1" t="s">
        <v>344</v>
      </c>
      <c r="B21" s="1" t="s">
        <v>327</v>
      </c>
      <c r="C21" s="1" t="s">
        <v>242</v>
      </c>
      <c r="D21" s="1" t="s">
        <v>345</v>
      </c>
      <c r="E21" s="1" t="s">
        <v>39</v>
      </c>
      <c r="F21" s="1" t="s">
        <v>313</v>
      </c>
    </row>
    <row r="22" spans="1:6" x14ac:dyDescent="0.3">
      <c r="A22" s="1" t="s">
        <v>346</v>
      </c>
      <c r="B22" s="1" t="s">
        <v>327</v>
      </c>
      <c r="C22" s="1" t="s">
        <v>258</v>
      </c>
      <c r="D22" s="1" t="s">
        <v>347</v>
      </c>
      <c r="E22" s="1" t="s">
        <v>39</v>
      </c>
      <c r="F22" s="1" t="s">
        <v>315</v>
      </c>
    </row>
    <row r="23" spans="1:6" x14ac:dyDescent="0.3">
      <c r="A23" s="1" t="s">
        <v>348</v>
      </c>
      <c r="B23" s="1" t="s">
        <v>327</v>
      </c>
      <c r="C23" s="1" t="s">
        <v>266</v>
      </c>
      <c r="D23" s="1" t="s">
        <v>349</v>
      </c>
      <c r="E23" s="1" t="s">
        <v>39</v>
      </c>
      <c r="F23" s="1" t="s">
        <v>318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Primavera Activities</vt:lpstr>
      <vt:lpstr>Pivot Summary</vt:lpstr>
      <vt:lpstr>Interactive Gantt</vt:lpstr>
      <vt:lpstr>_Lists</vt:lpstr>
      <vt:lpstr>WBS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DESIGN1 Primavera Interactive Gantt</dc:title>
  <dc:creator>OpenAI</dc:creator>
  <dc:description>Generated directly from the uploaded DESIGN1.xer Primavera P6 export.</dc:description>
  <cp:lastModifiedBy>Youssef Hany Rizk MIKHEL</cp:lastModifiedBy>
  <dcterms:created xsi:type="dcterms:W3CDTF">2026-10-04T18:59:58Z</dcterms:created>
  <dcterms:modified xsi:type="dcterms:W3CDTF">2026-10-06T14:14:29Z</dcterms:modified>
</cp:coreProperties>
</file>